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TESIS_5\"/>
    </mc:Choice>
  </mc:AlternateContent>
  <xr:revisionPtr revIDLastSave="0" documentId="8_{FFA4BE85-9E86-46D6-BA95-B530ABCAB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as" sheetId="1" r:id="rId1"/>
    <sheet name="Resultados_Simulacion" sheetId="2" r:id="rId2"/>
    <sheet name="Variación Porcentual frente a L" sheetId="6" r:id="rId3"/>
    <sheet name="Variacion_vs_Libre" sheetId="3" r:id="rId4"/>
    <sheet name="Estadistica_por_Re" sheetId="4" r:id="rId5"/>
    <sheet name="Estadistica_por_Posicio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6" l="1"/>
  <c r="E6" i="6"/>
  <c r="E5" i="6"/>
  <c r="D7" i="6"/>
  <c r="D6" i="6"/>
  <c r="D5" i="6"/>
  <c r="D4" i="6"/>
  <c r="C7" i="6"/>
  <c r="C6" i="6"/>
  <c r="C5" i="6"/>
  <c r="C4" i="6"/>
  <c r="E53" i="3"/>
  <c r="K210" i="3"/>
  <c r="L210" i="3" s="1"/>
  <c r="I210" i="3"/>
  <c r="J210" i="3" s="1"/>
  <c r="G210" i="3"/>
  <c r="H210" i="3" s="1"/>
  <c r="E210" i="3"/>
  <c r="F210" i="3" s="1"/>
  <c r="D210" i="3"/>
  <c r="C210" i="3"/>
  <c r="L209" i="3"/>
  <c r="K209" i="3"/>
  <c r="I209" i="3"/>
  <c r="J209" i="3" s="1"/>
  <c r="G209" i="3"/>
  <c r="H209" i="3" s="1"/>
  <c r="E209" i="3"/>
  <c r="F209" i="3" s="1"/>
  <c r="C209" i="3"/>
  <c r="D209" i="3" s="1"/>
  <c r="L208" i="3"/>
  <c r="K208" i="3"/>
  <c r="I208" i="3"/>
  <c r="J208" i="3" s="1"/>
  <c r="H208" i="3"/>
  <c r="G208" i="3"/>
  <c r="E208" i="3"/>
  <c r="F208" i="3" s="1"/>
  <c r="C208" i="3"/>
  <c r="D208" i="3" s="1"/>
  <c r="L207" i="3"/>
  <c r="K207" i="3"/>
  <c r="J207" i="3"/>
  <c r="I207" i="3"/>
  <c r="G207" i="3"/>
  <c r="H207" i="3" s="1"/>
  <c r="E207" i="3"/>
  <c r="F207" i="3" s="1"/>
  <c r="C207" i="3"/>
  <c r="D207" i="3" s="1"/>
  <c r="K206" i="3"/>
  <c r="L206" i="3" s="1"/>
  <c r="I206" i="3"/>
  <c r="J206" i="3" s="1"/>
  <c r="H206" i="3"/>
  <c r="G206" i="3"/>
  <c r="E206" i="3"/>
  <c r="F206" i="3" s="1"/>
  <c r="C206" i="3"/>
  <c r="D206" i="3" s="1"/>
  <c r="K205" i="3"/>
  <c r="L205" i="3" s="1"/>
  <c r="I205" i="3"/>
  <c r="J205" i="3" s="1"/>
  <c r="H205" i="3"/>
  <c r="G205" i="3"/>
  <c r="F205" i="3"/>
  <c r="E205" i="3"/>
  <c r="D205" i="3"/>
  <c r="C205" i="3"/>
  <c r="K204" i="3"/>
  <c r="L204" i="3" s="1"/>
  <c r="I204" i="3"/>
  <c r="J204" i="3" s="1"/>
  <c r="G204" i="3"/>
  <c r="H204" i="3" s="1"/>
  <c r="E204" i="3"/>
  <c r="F204" i="3" s="1"/>
  <c r="D204" i="3"/>
  <c r="C204" i="3"/>
  <c r="K203" i="3"/>
  <c r="L203" i="3" s="1"/>
  <c r="I203" i="3"/>
  <c r="J203" i="3" s="1"/>
  <c r="G203" i="3"/>
  <c r="H203" i="3" s="1"/>
  <c r="E203" i="3"/>
  <c r="F203" i="3" s="1"/>
  <c r="C203" i="3"/>
  <c r="D203" i="3" s="1"/>
  <c r="L202" i="3"/>
  <c r="K202" i="3"/>
  <c r="J202" i="3"/>
  <c r="I202" i="3"/>
  <c r="G202" i="3"/>
  <c r="H202" i="3" s="1"/>
  <c r="E202" i="3"/>
  <c r="F202" i="3" s="1"/>
  <c r="C202" i="3"/>
  <c r="D202" i="3" s="1"/>
  <c r="K201" i="3"/>
  <c r="L201" i="3" s="1"/>
  <c r="J201" i="3"/>
  <c r="I201" i="3"/>
  <c r="G201" i="3"/>
  <c r="H201" i="3" s="1"/>
  <c r="F201" i="3"/>
  <c r="E201" i="3"/>
  <c r="C201" i="3"/>
  <c r="D201" i="3" s="1"/>
  <c r="K200" i="3"/>
  <c r="L200" i="3" s="1"/>
  <c r="J200" i="3"/>
  <c r="I200" i="3"/>
  <c r="H200" i="3"/>
  <c r="G200" i="3"/>
  <c r="E200" i="3"/>
  <c r="F200" i="3" s="1"/>
  <c r="C200" i="3"/>
  <c r="D200" i="3" s="1"/>
  <c r="K199" i="3"/>
  <c r="L199" i="3" s="1"/>
  <c r="I199" i="3"/>
  <c r="J199" i="3" s="1"/>
  <c r="G199" i="3"/>
  <c r="H199" i="3" s="1"/>
  <c r="F199" i="3"/>
  <c r="E199" i="3"/>
  <c r="C199" i="3"/>
  <c r="D199" i="3" s="1"/>
  <c r="K198" i="3"/>
  <c r="L198" i="3" s="1"/>
  <c r="I198" i="3"/>
  <c r="J198" i="3" s="1"/>
  <c r="G198" i="3"/>
  <c r="H198" i="3" s="1"/>
  <c r="F198" i="3"/>
  <c r="E198" i="3"/>
  <c r="D198" i="3"/>
  <c r="C198" i="3"/>
  <c r="L197" i="3"/>
  <c r="K197" i="3"/>
  <c r="I197" i="3"/>
  <c r="J197" i="3" s="1"/>
  <c r="G197" i="3"/>
  <c r="H197" i="3" s="1"/>
  <c r="E197" i="3"/>
  <c r="F197" i="3" s="1"/>
  <c r="C197" i="3"/>
  <c r="D197" i="3" s="1"/>
  <c r="L196" i="3"/>
  <c r="K196" i="3"/>
  <c r="I196" i="3"/>
  <c r="J196" i="3" s="1"/>
  <c r="G196" i="3"/>
  <c r="H196" i="3" s="1"/>
  <c r="E196" i="3"/>
  <c r="F196" i="3" s="1"/>
  <c r="C196" i="3"/>
  <c r="D196" i="3" s="1"/>
  <c r="K195" i="3"/>
  <c r="L195" i="3" s="1"/>
  <c r="J195" i="3"/>
  <c r="I195" i="3"/>
  <c r="H195" i="3"/>
  <c r="G195" i="3"/>
  <c r="E195" i="3"/>
  <c r="F195" i="3" s="1"/>
  <c r="C195" i="3"/>
  <c r="D195" i="3" s="1"/>
  <c r="K194" i="3"/>
  <c r="L194" i="3" s="1"/>
  <c r="I194" i="3"/>
  <c r="J194" i="3" s="1"/>
  <c r="H194" i="3"/>
  <c r="G194" i="3"/>
  <c r="E194" i="3"/>
  <c r="F194" i="3" s="1"/>
  <c r="D194" i="3"/>
  <c r="C194" i="3"/>
  <c r="K193" i="3"/>
  <c r="L193" i="3" s="1"/>
  <c r="I193" i="3"/>
  <c r="J193" i="3" s="1"/>
  <c r="H193" i="3"/>
  <c r="J12" i="4" s="1"/>
  <c r="G193" i="3"/>
  <c r="F193" i="3"/>
  <c r="E193" i="3"/>
  <c r="C193" i="3"/>
  <c r="D193" i="3" s="1"/>
  <c r="K192" i="3"/>
  <c r="L192" i="3" s="1"/>
  <c r="I192" i="3"/>
  <c r="J192" i="3" s="1"/>
  <c r="G192" i="3"/>
  <c r="H192" i="3" s="1"/>
  <c r="E192" i="3"/>
  <c r="F192" i="3" s="1"/>
  <c r="D192" i="3"/>
  <c r="C192" i="3"/>
  <c r="K191" i="3"/>
  <c r="L191" i="3" s="1"/>
  <c r="I191" i="3"/>
  <c r="J191" i="3" s="1"/>
  <c r="G191" i="3"/>
  <c r="H191" i="3" s="1"/>
  <c r="E191" i="3"/>
  <c r="F191" i="3" s="1"/>
  <c r="D191" i="3"/>
  <c r="C191" i="3"/>
  <c r="L190" i="3"/>
  <c r="K190" i="3"/>
  <c r="J190" i="3"/>
  <c r="I190" i="3"/>
  <c r="G190" i="3"/>
  <c r="H190" i="3" s="1"/>
  <c r="E190" i="3"/>
  <c r="F190" i="3" s="1"/>
  <c r="C190" i="3"/>
  <c r="D190" i="3" s="1"/>
  <c r="K189" i="3"/>
  <c r="L189" i="3" s="1"/>
  <c r="J189" i="3"/>
  <c r="I189" i="3"/>
  <c r="G189" i="3"/>
  <c r="H189" i="3" s="1"/>
  <c r="E189" i="3"/>
  <c r="F189" i="3" s="1"/>
  <c r="C189" i="3"/>
  <c r="D189" i="3" s="1"/>
  <c r="K188" i="3"/>
  <c r="L188" i="3" s="1"/>
  <c r="I188" i="3"/>
  <c r="J188" i="3" s="1"/>
  <c r="H188" i="3"/>
  <c r="G188" i="3"/>
  <c r="F188" i="3"/>
  <c r="E188" i="3"/>
  <c r="C188" i="3"/>
  <c r="D188" i="3" s="1"/>
  <c r="K187" i="3"/>
  <c r="L187" i="3" s="1"/>
  <c r="I187" i="3"/>
  <c r="J187" i="3" s="1"/>
  <c r="G187" i="3"/>
  <c r="H187" i="3" s="1"/>
  <c r="F187" i="3"/>
  <c r="E187" i="3"/>
  <c r="C187" i="3"/>
  <c r="D187" i="3" s="1"/>
  <c r="L186" i="3"/>
  <c r="K186" i="3"/>
  <c r="I186" i="3"/>
  <c r="J186" i="3" s="1"/>
  <c r="G186" i="3"/>
  <c r="H186" i="3" s="1"/>
  <c r="F186" i="3"/>
  <c r="E186" i="3"/>
  <c r="D186" i="3"/>
  <c r="C186" i="3"/>
  <c r="K185" i="3"/>
  <c r="L185" i="3" s="1"/>
  <c r="I185" i="3"/>
  <c r="J185" i="3" s="1"/>
  <c r="G185" i="3"/>
  <c r="H185" i="3" s="1"/>
  <c r="E185" i="3"/>
  <c r="F185" i="3" s="1"/>
  <c r="C185" i="3"/>
  <c r="D185" i="3" s="1"/>
  <c r="L184" i="3"/>
  <c r="K184" i="3"/>
  <c r="I184" i="3"/>
  <c r="J184" i="3" s="1"/>
  <c r="G184" i="3"/>
  <c r="H184" i="3" s="1"/>
  <c r="E184" i="3"/>
  <c r="F184" i="3" s="1"/>
  <c r="C184" i="3"/>
  <c r="D184" i="3" s="1"/>
  <c r="L183" i="3"/>
  <c r="K183" i="3"/>
  <c r="J183" i="3"/>
  <c r="I183" i="3"/>
  <c r="H183" i="3"/>
  <c r="G183" i="3"/>
  <c r="E183" i="3"/>
  <c r="F183" i="3" s="1"/>
  <c r="C183" i="3"/>
  <c r="D183" i="3" s="1"/>
  <c r="K182" i="3"/>
  <c r="L182" i="3" s="1"/>
  <c r="I182" i="3"/>
  <c r="J182" i="3" s="1"/>
  <c r="H182" i="3"/>
  <c r="G182" i="3"/>
  <c r="E182" i="3"/>
  <c r="F182" i="3" s="1"/>
  <c r="C182" i="3"/>
  <c r="D182" i="3" s="1"/>
  <c r="K181" i="3"/>
  <c r="L181" i="3" s="1"/>
  <c r="I181" i="3"/>
  <c r="J181" i="3" s="1"/>
  <c r="G181" i="3"/>
  <c r="H181" i="3" s="1"/>
  <c r="F181" i="3"/>
  <c r="E181" i="3"/>
  <c r="D181" i="3"/>
  <c r="C181" i="3"/>
  <c r="K180" i="3"/>
  <c r="L180" i="3" s="1"/>
  <c r="I180" i="3"/>
  <c r="J180" i="3" s="1"/>
  <c r="G180" i="3"/>
  <c r="H180" i="3" s="1"/>
  <c r="E180" i="3"/>
  <c r="F180" i="3" s="1"/>
  <c r="D180" i="3"/>
  <c r="C180" i="3"/>
  <c r="K179" i="3"/>
  <c r="L179" i="3" s="1"/>
  <c r="J179" i="3"/>
  <c r="I179" i="3"/>
  <c r="G179" i="3"/>
  <c r="H179" i="3" s="1"/>
  <c r="E179" i="3"/>
  <c r="F179" i="3" s="1"/>
  <c r="D179" i="3"/>
  <c r="C179" i="3"/>
  <c r="L178" i="3"/>
  <c r="K178" i="3"/>
  <c r="I178" i="3"/>
  <c r="J178" i="3" s="1"/>
  <c r="G178" i="3"/>
  <c r="H178" i="3" s="1"/>
  <c r="E178" i="3"/>
  <c r="F178" i="3" s="1"/>
  <c r="C178" i="3"/>
  <c r="D178" i="3" s="1"/>
  <c r="K177" i="3"/>
  <c r="L177" i="3" s="1"/>
  <c r="J177" i="3"/>
  <c r="I177" i="3"/>
  <c r="G177" i="3"/>
  <c r="H177" i="3" s="1"/>
  <c r="E177" i="3"/>
  <c r="F177" i="3" s="1"/>
  <c r="C177" i="3"/>
  <c r="D177" i="3" s="1"/>
  <c r="K176" i="3"/>
  <c r="L176" i="3" s="1"/>
  <c r="J176" i="3"/>
  <c r="I176" i="3"/>
  <c r="H176" i="3"/>
  <c r="G176" i="3"/>
  <c r="F176" i="3"/>
  <c r="E176" i="3"/>
  <c r="C176" i="3"/>
  <c r="D176" i="3" s="1"/>
  <c r="K175" i="3"/>
  <c r="L175" i="3" s="1"/>
  <c r="I175" i="3"/>
  <c r="J175" i="3" s="1"/>
  <c r="G175" i="3"/>
  <c r="H175" i="3" s="1"/>
  <c r="F175" i="3"/>
  <c r="E175" i="3"/>
  <c r="C175" i="3"/>
  <c r="D175" i="3" s="1"/>
  <c r="K174" i="3"/>
  <c r="L174" i="3" s="1"/>
  <c r="I174" i="3"/>
  <c r="J174" i="3" s="1"/>
  <c r="G174" i="3"/>
  <c r="H174" i="3" s="1"/>
  <c r="E174" i="3"/>
  <c r="F174" i="3" s="1"/>
  <c r="D174" i="3"/>
  <c r="C174" i="3"/>
  <c r="L173" i="3"/>
  <c r="K173" i="3"/>
  <c r="I173" i="3"/>
  <c r="J173" i="3" s="1"/>
  <c r="G173" i="3"/>
  <c r="H173" i="3" s="1"/>
  <c r="E173" i="3"/>
  <c r="F173" i="3" s="1"/>
  <c r="C173" i="3"/>
  <c r="D173" i="3" s="1"/>
  <c r="L172" i="3"/>
  <c r="K172" i="3"/>
  <c r="I172" i="3"/>
  <c r="J172" i="3" s="1"/>
  <c r="H172" i="3"/>
  <c r="G172" i="3"/>
  <c r="E172" i="3"/>
  <c r="F172" i="3" s="1"/>
  <c r="C172" i="3"/>
  <c r="D172" i="3" s="1"/>
  <c r="L171" i="3"/>
  <c r="K171" i="3"/>
  <c r="J171" i="3"/>
  <c r="I171" i="3"/>
  <c r="G171" i="3"/>
  <c r="H171" i="3" s="1"/>
  <c r="E171" i="3"/>
  <c r="F171" i="3" s="1"/>
  <c r="C171" i="3"/>
  <c r="D171" i="3" s="1"/>
  <c r="K170" i="3"/>
  <c r="L170" i="3" s="1"/>
  <c r="I170" i="3"/>
  <c r="J170" i="3" s="1"/>
  <c r="H170" i="3"/>
  <c r="G170" i="3"/>
  <c r="E170" i="3"/>
  <c r="F170" i="3" s="1"/>
  <c r="C170" i="3"/>
  <c r="D170" i="3" s="1"/>
  <c r="K169" i="3"/>
  <c r="L169" i="3" s="1"/>
  <c r="I169" i="3"/>
  <c r="J169" i="3" s="1"/>
  <c r="H169" i="3"/>
  <c r="G169" i="3"/>
  <c r="F169" i="3"/>
  <c r="E169" i="3"/>
  <c r="D169" i="3"/>
  <c r="C169" i="3"/>
  <c r="K168" i="3"/>
  <c r="L168" i="3" s="1"/>
  <c r="I168" i="3"/>
  <c r="J168" i="3" s="1"/>
  <c r="G168" i="3"/>
  <c r="H168" i="3" s="1"/>
  <c r="E168" i="3"/>
  <c r="F168" i="3" s="1"/>
  <c r="D168" i="3"/>
  <c r="C168" i="3"/>
  <c r="K167" i="3"/>
  <c r="L167" i="3" s="1"/>
  <c r="I167" i="3"/>
  <c r="J167" i="3" s="1"/>
  <c r="G167" i="3"/>
  <c r="H167" i="3" s="1"/>
  <c r="E167" i="3"/>
  <c r="F167" i="3" s="1"/>
  <c r="C167" i="3"/>
  <c r="D167" i="3" s="1"/>
  <c r="L166" i="3"/>
  <c r="K166" i="3"/>
  <c r="J166" i="3"/>
  <c r="I166" i="3"/>
  <c r="G166" i="3"/>
  <c r="H166" i="3" s="1"/>
  <c r="E166" i="3"/>
  <c r="F166" i="3" s="1"/>
  <c r="C166" i="3"/>
  <c r="D166" i="3" s="1"/>
  <c r="K165" i="3"/>
  <c r="L165" i="3" s="1"/>
  <c r="J165" i="3"/>
  <c r="I165" i="3"/>
  <c r="G165" i="3"/>
  <c r="H165" i="3" s="1"/>
  <c r="F165" i="3"/>
  <c r="E165" i="3"/>
  <c r="C165" i="3"/>
  <c r="D165" i="3" s="1"/>
  <c r="K164" i="3"/>
  <c r="L164" i="3" s="1"/>
  <c r="J164" i="3"/>
  <c r="I164" i="3"/>
  <c r="H164" i="3"/>
  <c r="G164" i="3"/>
  <c r="E164" i="3"/>
  <c r="F164" i="3" s="1"/>
  <c r="C164" i="3"/>
  <c r="D164" i="3" s="1"/>
  <c r="K163" i="3"/>
  <c r="L163" i="3" s="1"/>
  <c r="I163" i="3"/>
  <c r="J163" i="3" s="1"/>
  <c r="G163" i="3"/>
  <c r="H163" i="3" s="1"/>
  <c r="F163" i="3"/>
  <c r="E163" i="3"/>
  <c r="C163" i="3"/>
  <c r="D163" i="3" s="1"/>
  <c r="K162" i="3"/>
  <c r="L162" i="3" s="1"/>
  <c r="I162" i="3"/>
  <c r="J162" i="3" s="1"/>
  <c r="G162" i="3"/>
  <c r="H162" i="3" s="1"/>
  <c r="F162" i="3"/>
  <c r="E162" i="3"/>
  <c r="D162" i="3"/>
  <c r="C162" i="3"/>
  <c r="L161" i="3"/>
  <c r="K161" i="3"/>
  <c r="I161" i="3"/>
  <c r="J161" i="3" s="1"/>
  <c r="G161" i="3"/>
  <c r="H161" i="3" s="1"/>
  <c r="E161" i="3"/>
  <c r="F161" i="3" s="1"/>
  <c r="C161" i="3"/>
  <c r="D161" i="3" s="1"/>
  <c r="L160" i="3"/>
  <c r="K160" i="3"/>
  <c r="I160" i="3"/>
  <c r="J160" i="3" s="1"/>
  <c r="G160" i="3"/>
  <c r="H160" i="3" s="1"/>
  <c r="F160" i="3"/>
  <c r="E160" i="3"/>
  <c r="C160" i="3"/>
  <c r="D160" i="3" s="1"/>
  <c r="L159" i="3"/>
  <c r="K159" i="3"/>
  <c r="J159" i="3"/>
  <c r="I159" i="3"/>
  <c r="H159" i="3"/>
  <c r="G159" i="3"/>
  <c r="E159" i="3"/>
  <c r="F159" i="3" s="1"/>
  <c r="D159" i="3"/>
  <c r="C159" i="3"/>
  <c r="K158" i="3"/>
  <c r="L158" i="3" s="1"/>
  <c r="I158" i="3"/>
  <c r="J158" i="3" s="1"/>
  <c r="H158" i="3"/>
  <c r="G158" i="3"/>
  <c r="F158" i="3"/>
  <c r="E158" i="3"/>
  <c r="C158" i="3"/>
  <c r="D158" i="3" s="1"/>
  <c r="L157" i="3"/>
  <c r="K157" i="3"/>
  <c r="I157" i="3"/>
  <c r="J157" i="3" s="1"/>
  <c r="H157" i="3"/>
  <c r="G157" i="3"/>
  <c r="F157" i="3"/>
  <c r="E157" i="3"/>
  <c r="C157" i="3"/>
  <c r="D157" i="3" s="1"/>
  <c r="L156" i="3"/>
  <c r="K156" i="3"/>
  <c r="J156" i="3"/>
  <c r="I156" i="3"/>
  <c r="G156" i="3"/>
  <c r="H156" i="3" s="1"/>
  <c r="E156" i="3"/>
  <c r="F156" i="3" s="1"/>
  <c r="C156" i="3"/>
  <c r="D156" i="3" s="1"/>
  <c r="K155" i="3"/>
  <c r="L155" i="3" s="1"/>
  <c r="J155" i="3"/>
  <c r="I155" i="3"/>
  <c r="G155" i="3"/>
  <c r="H155" i="3" s="1"/>
  <c r="E155" i="3"/>
  <c r="F155" i="3" s="1"/>
  <c r="C155" i="3"/>
  <c r="D155" i="3" s="1"/>
  <c r="K154" i="3"/>
  <c r="L154" i="3" s="1"/>
  <c r="I154" i="3"/>
  <c r="J154" i="3" s="1"/>
  <c r="H154" i="3"/>
  <c r="G154" i="3"/>
  <c r="E154" i="3"/>
  <c r="F154" i="3" s="1"/>
  <c r="C154" i="3"/>
  <c r="D154" i="3" s="1"/>
  <c r="K153" i="3"/>
  <c r="L153" i="3" s="1"/>
  <c r="I153" i="3"/>
  <c r="J153" i="3" s="1"/>
  <c r="G153" i="3"/>
  <c r="H153" i="3" s="1"/>
  <c r="F153" i="3"/>
  <c r="E153" i="3"/>
  <c r="C153" i="3"/>
  <c r="D153" i="3" s="1"/>
  <c r="L152" i="3"/>
  <c r="K152" i="3"/>
  <c r="I152" i="3"/>
  <c r="J152" i="3" s="1"/>
  <c r="G152" i="3"/>
  <c r="H152" i="3" s="1"/>
  <c r="E152" i="3"/>
  <c r="F152" i="3" s="1"/>
  <c r="D152" i="3"/>
  <c r="C152" i="3"/>
  <c r="K151" i="3"/>
  <c r="L151" i="3" s="1"/>
  <c r="I151" i="3"/>
  <c r="J151" i="3" s="1"/>
  <c r="G151" i="3"/>
  <c r="H151" i="3" s="1"/>
  <c r="E151" i="3"/>
  <c r="F151" i="3" s="1"/>
  <c r="C151" i="3"/>
  <c r="D151" i="3" s="1"/>
  <c r="L150" i="3"/>
  <c r="K150" i="3"/>
  <c r="I150" i="3"/>
  <c r="J150" i="3" s="1"/>
  <c r="G150" i="3"/>
  <c r="H150" i="3" s="1"/>
  <c r="E150" i="3"/>
  <c r="F150" i="3" s="1"/>
  <c r="C150" i="3"/>
  <c r="D150" i="3" s="1"/>
  <c r="K149" i="3"/>
  <c r="L149" i="3" s="1"/>
  <c r="J149" i="3"/>
  <c r="I149" i="3"/>
  <c r="G149" i="3"/>
  <c r="H149" i="3" s="1"/>
  <c r="F149" i="3"/>
  <c r="E149" i="3"/>
  <c r="C149" i="3"/>
  <c r="D149" i="3" s="1"/>
  <c r="K148" i="3"/>
  <c r="L148" i="3" s="1"/>
  <c r="I148" i="3"/>
  <c r="J148" i="3" s="1"/>
  <c r="H148" i="3"/>
  <c r="G148" i="3"/>
  <c r="E148" i="3"/>
  <c r="F148" i="3" s="1"/>
  <c r="C148" i="3"/>
  <c r="D148" i="3" s="1"/>
  <c r="K147" i="3"/>
  <c r="L147" i="3" s="1"/>
  <c r="I147" i="3"/>
  <c r="J147" i="3" s="1"/>
  <c r="G147" i="3"/>
  <c r="H147" i="3" s="1"/>
  <c r="F147" i="3"/>
  <c r="E147" i="3"/>
  <c r="C147" i="3"/>
  <c r="D147" i="3" s="1"/>
  <c r="K146" i="3"/>
  <c r="L146" i="3" s="1"/>
  <c r="I146" i="3"/>
  <c r="J146" i="3" s="1"/>
  <c r="G146" i="3"/>
  <c r="H146" i="3" s="1"/>
  <c r="E146" i="3"/>
  <c r="F146" i="3" s="1"/>
  <c r="D146" i="3"/>
  <c r="C146" i="3"/>
  <c r="K145" i="3"/>
  <c r="L145" i="3" s="1"/>
  <c r="J145" i="3"/>
  <c r="I145" i="3"/>
  <c r="G145" i="3"/>
  <c r="H145" i="3" s="1"/>
  <c r="E145" i="3"/>
  <c r="F145" i="3" s="1"/>
  <c r="C145" i="3"/>
  <c r="D145" i="3" s="1"/>
  <c r="L144" i="3"/>
  <c r="K144" i="3"/>
  <c r="I144" i="3"/>
  <c r="J144" i="3" s="1"/>
  <c r="G144" i="3"/>
  <c r="H144" i="3" s="1"/>
  <c r="E144" i="3"/>
  <c r="F144" i="3" s="1"/>
  <c r="C144" i="3"/>
  <c r="D144" i="3" s="1"/>
  <c r="K143" i="3"/>
  <c r="L143" i="3" s="1"/>
  <c r="I143" i="3"/>
  <c r="J143" i="3" s="1"/>
  <c r="G143" i="3"/>
  <c r="H143" i="3" s="1"/>
  <c r="E143" i="3"/>
  <c r="F143" i="3" s="1"/>
  <c r="C143" i="3"/>
  <c r="D143" i="3" s="1"/>
  <c r="K142" i="3"/>
  <c r="L142" i="3" s="1"/>
  <c r="I142" i="3"/>
  <c r="J142" i="3" s="1"/>
  <c r="H142" i="3"/>
  <c r="G142" i="3"/>
  <c r="E142" i="3"/>
  <c r="F142" i="3" s="1"/>
  <c r="D142" i="3"/>
  <c r="C142" i="3"/>
  <c r="K141" i="3"/>
  <c r="L141" i="3" s="1"/>
  <c r="I141" i="3"/>
  <c r="J141" i="3" s="1"/>
  <c r="G141" i="3"/>
  <c r="H141" i="3" s="1"/>
  <c r="F141" i="3"/>
  <c r="E141" i="3"/>
  <c r="C141" i="3"/>
  <c r="D141" i="3" s="1"/>
  <c r="K140" i="3"/>
  <c r="L140" i="3" s="1"/>
  <c r="I140" i="3"/>
  <c r="J140" i="3" s="1"/>
  <c r="G140" i="3"/>
  <c r="H140" i="3" s="1"/>
  <c r="E140" i="3"/>
  <c r="F140" i="3" s="1"/>
  <c r="C140" i="3"/>
  <c r="D140" i="3" s="1"/>
  <c r="K139" i="3"/>
  <c r="L139" i="3" s="1"/>
  <c r="I139" i="3"/>
  <c r="J139" i="3" s="1"/>
  <c r="G139" i="3"/>
  <c r="H139" i="3" s="1"/>
  <c r="E139" i="3"/>
  <c r="F139" i="3" s="1"/>
  <c r="C139" i="3"/>
  <c r="D139" i="3" s="1"/>
  <c r="K138" i="3"/>
  <c r="L138" i="3" s="1"/>
  <c r="I138" i="3"/>
  <c r="J138" i="3" s="1"/>
  <c r="H138" i="3"/>
  <c r="G138" i="3"/>
  <c r="E138" i="3"/>
  <c r="F138" i="3" s="1"/>
  <c r="C138" i="3"/>
  <c r="D138" i="3" s="1"/>
  <c r="K137" i="3"/>
  <c r="L137" i="3" s="1"/>
  <c r="J137" i="3"/>
  <c r="I137" i="3"/>
  <c r="G137" i="3"/>
  <c r="H137" i="3" s="1"/>
  <c r="E137" i="3"/>
  <c r="F137" i="3" s="1"/>
  <c r="C137" i="3"/>
  <c r="D137" i="3" s="1"/>
  <c r="K136" i="3"/>
  <c r="L136" i="3" s="1"/>
  <c r="I136" i="3"/>
  <c r="J136" i="3" s="1"/>
  <c r="G136" i="3"/>
  <c r="H136" i="3" s="1"/>
  <c r="E136" i="3"/>
  <c r="F136" i="3" s="1"/>
  <c r="C136" i="3"/>
  <c r="D136" i="3" s="1"/>
  <c r="K135" i="3"/>
  <c r="L135" i="3" s="1"/>
  <c r="I135" i="3"/>
  <c r="J135" i="3" s="1"/>
  <c r="G135" i="3"/>
  <c r="H135" i="3" s="1"/>
  <c r="E135" i="3"/>
  <c r="F135" i="3" s="1"/>
  <c r="C135" i="3"/>
  <c r="D135" i="3" s="1"/>
  <c r="L134" i="3"/>
  <c r="K134" i="3"/>
  <c r="I134" i="3"/>
  <c r="J134" i="3" s="1"/>
  <c r="G134" i="3"/>
  <c r="H134" i="3" s="1"/>
  <c r="E134" i="3"/>
  <c r="F134" i="3" s="1"/>
  <c r="D134" i="3"/>
  <c r="C134" i="3"/>
  <c r="K133" i="3"/>
  <c r="L133" i="3" s="1"/>
  <c r="I133" i="3"/>
  <c r="J133" i="3" s="1"/>
  <c r="G133" i="3"/>
  <c r="H133" i="3" s="1"/>
  <c r="E133" i="3"/>
  <c r="F133" i="3" s="1"/>
  <c r="C133" i="3"/>
  <c r="D133" i="3" s="1"/>
  <c r="K132" i="3"/>
  <c r="L132" i="3" s="1"/>
  <c r="I132" i="3"/>
  <c r="J132" i="3" s="1"/>
  <c r="G132" i="3"/>
  <c r="H132" i="3" s="1"/>
  <c r="E132" i="3"/>
  <c r="F132" i="3" s="1"/>
  <c r="C132" i="3"/>
  <c r="D132" i="3" s="1"/>
  <c r="K131" i="3"/>
  <c r="L131" i="3" s="1"/>
  <c r="J131" i="3"/>
  <c r="I131" i="3"/>
  <c r="G131" i="3"/>
  <c r="H131" i="3" s="1"/>
  <c r="F131" i="3"/>
  <c r="E131" i="3"/>
  <c r="C131" i="3"/>
  <c r="D131" i="3" s="1"/>
  <c r="K130" i="3"/>
  <c r="L130" i="3" s="1"/>
  <c r="I130" i="3"/>
  <c r="J130" i="3" s="1"/>
  <c r="H130" i="3"/>
  <c r="G130" i="3"/>
  <c r="E130" i="3"/>
  <c r="F130" i="3" s="1"/>
  <c r="C130" i="3"/>
  <c r="D130" i="3" s="1"/>
  <c r="K129" i="3"/>
  <c r="L129" i="3" s="1"/>
  <c r="I129" i="3"/>
  <c r="J129" i="3" s="1"/>
  <c r="G129" i="3"/>
  <c r="H129" i="3" s="1"/>
  <c r="E129" i="3"/>
  <c r="F129" i="3" s="1"/>
  <c r="C129" i="3"/>
  <c r="D129" i="3" s="1"/>
  <c r="K128" i="3"/>
  <c r="L128" i="3" s="1"/>
  <c r="I128" i="3"/>
  <c r="J128" i="3" s="1"/>
  <c r="G128" i="3"/>
  <c r="H128" i="3" s="1"/>
  <c r="E128" i="3"/>
  <c r="F128" i="3" s="1"/>
  <c r="D128" i="3"/>
  <c r="C128" i="3"/>
  <c r="K127" i="3"/>
  <c r="L127" i="3" s="1"/>
  <c r="J127" i="3"/>
  <c r="I127" i="3"/>
  <c r="G127" i="3"/>
  <c r="H127" i="3" s="1"/>
  <c r="E127" i="3"/>
  <c r="F127" i="3" s="1"/>
  <c r="C127" i="3"/>
  <c r="D127" i="3" s="1"/>
  <c r="L126" i="3"/>
  <c r="K126" i="3"/>
  <c r="I126" i="3"/>
  <c r="J126" i="3" s="1"/>
  <c r="G126" i="3"/>
  <c r="H126" i="3" s="1"/>
  <c r="E126" i="3"/>
  <c r="F126" i="3" s="1"/>
  <c r="C126" i="3"/>
  <c r="D126" i="3" s="1"/>
  <c r="K125" i="3"/>
  <c r="L125" i="3" s="1"/>
  <c r="I125" i="3"/>
  <c r="J125" i="3" s="1"/>
  <c r="G125" i="3"/>
  <c r="H125" i="3" s="1"/>
  <c r="E125" i="3"/>
  <c r="F125" i="3" s="1"/>
  <c r="C125" i="3"/>
  <c r="D125" i="3" s="1"/>
  <c r="K124" i="3"/>
  <c r="L124" i="3" s="1"/>
  <c r="I124" i="3"/>
  <c r="J124" i="3" s="1"/>
  <c r="G124" i="3"/>
  <c r="H124" i="3" s="1"/>
  <c r="E124" i="3"/>
  <c r="F124" i="3" s="1"/>
  <c r="D124" i="3"/>
  <c r="C124" i="3"/>
  <c r="K123" i="3"/>
  <c r="L123" i="3" s="1"/>
  <c r="I123" i="3"/>
  <c r="J123" i="3" s="1"/>
  <c r="G123" i="3"/>
  <c r="H123" i="3" s="1"/>
  <c r="F123" i="3"/>
  <c r="E123" i="3"/>
  <c r="C123" i="3"/>
  <c r="D123" i="3" s="1"/>
  <c r="K122" i="3"/>
  <c r="L122" i="3" s="1"/>
  <c r="I122" i="3"/>
  <c r="J122" i="3" s="1"/>
  <c r="G122" i="3"/>
  <c r="H122" i="3" s="1"/>
  <c r="F122" i="3"/>
  <c r="E122" i="3"/>
  <c r="C122" i="3"/>
  <c r="D122" i="3" s="1"/>
  <c r="K121" i="3"/>
  <c r="L121" i="3" s="1"/>
  <c r="J121" i="3"/>
  <c r="I121" i="3"/>
  <c r="G121" i="3"/>
  <c r="H121" i="3" s="1"/>
  <c r="E121" i="3"/>
  <c r="F121" i="3" s="1"/>
  <c r="C121" i="3"/>
  <c r="D121" i="3" s="1"/>
  <c r="K120" i="3"/>
  <c r="L120" i="3" s="1"/>
  <c r="I120" i="3"/>
  <c r="J120" i="3" s="1"/>
  <c r="G120" i="3"/>
  <c r="H120" i="3" s="1"/>
  <c r="E120" i="3"/>
  <c r="F120" i="3" s="1"/>
  <c r="C120" i="3"/>
  <c r="D120" i="3" s="1"/>
  <c r="K119" i="3"/>
  <c r="L119" i="3" s="1"/>
  <c r="I119" i="3"/>
  <c r="J119" i="3" s="1"/>
  <c r="G119" i="3"/>
  <c r="H119" i="3" s="1"/>
  <c r="E119" i="3"/>
  <c r="F119" i="3" s="1"/>
  <c r="C119" i="3"/>
  <c r="D119" i="3" s="1"/>
  <c r="K118" i="3"/>
  <c r="L118" i="3" s="1"/>
  <c r="I118" i="3"/>
  <c r="J118" i="3" s="1"/>
  <c r="H118" i="3"/>
  <c r="G118" i="3"/>
  <c r="E118" i="3"/>
  <c r="F118" i="3" s="1"/>
  <c r="C118" i="3"/>
  <c r="D118" i="3" s="1"/>
  <c r="K117" i="3"/>
  <c r="L117" i="3" s="1"/>
  <c r="I117" i="3"/>
  <c r="J117" i="3" s="1"/>
  <c r="H117" i="3"/>
  <c r="G117" i="3"/>
  <c r="E117" i="3"/>
  <c r="F117" i="3" s="1"/>
  <c r="C117" i="3"/>
  <c r="D117" i="3" s="1"/>
  <c r="L116" i="3"/>
  <c r="K116" i="3"/>
  <c r="I116" i="3"/>
  <c r="J116" i="3" s="1"/>
  <c r="G116" i="3"/>
  <c r="H116" i="3" s="1"/>
  <c r="E116" i="3"/>
  <c r="F116" i="3" s="1"/>
  <c r="C116" i="3"/>
  <c r="D116" i="3" s="1"/>
  <c r="K115" i="3"/>
  <c r="L115" i="3" s="1"/>
  <c r="I115" i="3"/>
  <c r="J115" i="3" s="1"/>
  <c r="G115" i="3"/>
  <c r="H115" i="3" s="1"/>
  <c r="E115" i="3"/>
  <c r="F115" i="3" s="1"/>
  <c r="C115" i="3"/>
  <c r="D115" i="3" s="1"/>
  <c r="K114" i="3"/>
  <c r="L114" i="3" s="1"/>
  <c r="I114" i="3"/>
  <c r="J114" i="3" s="1"/>
  <c r="G114" i="3"/>
  <c r="H114" i="3" s="1"/>
  <c r="E114" i="3"/>
  <c r="F114" i="3" s="1"/>
  <c r="C114" i="3"/>
  <c r="D114" i="3" s="1"/>
  <c r="K113" i="3"/>
  <c r="L113" i="3" s="1"/>
  <c r="J113" i="3"/>
  <c r="I113" i="3"/>
  <c r="G113" i="3"/>
  <c r="H113" i="3" s="1"/>
  <c r="E113" i="3"/>
  <c r="F113" i="3" s="1"/>
  <c r="C113" i="3"/>
  <c r="D113" i="3" s="1"/>
  <c r="K112" i="3"/>
  <c r="L112" i="3" s="1"/>
  <c r="J112" i="3"/>
  <c r="I112" i="3"/>
  <c r="G112" i="3"/>
  <c r="H112" i="3" s="1"/>
  <c r="E112" i="3"/>
  <c r="F112" i="3" s="1"/>
  <c r="D112" i="3"/>
  <c r="C112" i="3"/>
  <c r="K111" i="3"/>
  <c r="L111" i="3" s="1"/>
  <c r="I111" i="3"/>
  <c r="J111" i="3" s="1"/>
  <c r="H111" i="3"/>
  <c r="G111" i="3"/>
  <c r="E111" i="3"/>
  <c r="F111" i="3" s="1"/>
  <c r="C111" i="3"/>
  <c r="D111" i="3" s="1"/>
  <c r="K110" i="3"/>
  <c r="L110" i="3" s="1"/>
  <c r="I110" i="3"/>
  <c r="J110" i="3" s="1"/>
  <c r="G110" i="3"/>
  <c r="H110" i="3" s="1"/>
  <c r="E110" i="3"/>
  <c r="F110" i="3" s="1"/>
  <c r="C110" i="3"/>
  <c r="D110" i="3" s="1"/>
  <c r="K109" i="3"/>
  <c r="L109" i="3" s="1"/>
  <c r="I109" i="3"/>
  <c r="J109" i="3" s="1"/>
  <c r="G109" i="3"/>
  <c r="H109" i="3" s="1"/>
  <c r="E109" i="3"/>
  <c r="F109" i="3" s="1"/>
  <c r="C109" i="3"/>
  <c r="D109" i="3" s="1"/>
  <c r="K108" i="3"/>
  <c r="L108" i="3" s="1"/>
  <c r="I108" i="3"/>
  <c r="J108" i="3" s="1"/>
  <c r="G108" i="3"/>
  <c r="H108" i="3" s="1"/>
  <c r="E108" i="3"/>
  <c r="F108" i="3" s="1"/>
  <c r="D108" i="3"/>
  <c r="C108" i="3"/>
  <c r="K107" i="3"/>
  <c r="L107" i="3" s="1"/>
  <c r="I107" i="3"/>
  <c r="J107" i="3" s="1"/>
  <c r="G107" i="3"/>
  <c r="H107" i="3" s="1"/>
  <c r="F107" i="3"/>
  <c r="E107" i="3"/>
  <c r="C107" i="3"/>
  <c r="D107" i="3" s="1"/>
  <c r="L106" i="3"/>
  <c r="K106" i="3"/>
  <c r="J106" i="3"/>
  <c r="I106" i="3"/>
  <c r="G106" i="3"/>
  <c r="H106" i="3" s="1"/>
  <c r="E106" i="3"/>
  <c r="F106" i="3" s="1"/>
  <c r="D106" i="3"/>
  <c r="C106" i="3"/>
  <c r="K105" i="3"/>
  <c r="L105" i="3" s="1"/>
  <c r="I105" i="3"/>
  <c r="J105" i="3" s="1"/>
  <c r="H105" i="3"/>
  <c r="G105" i="3"/>
  <c r="F105" i="3"/>
  <c r="E105" i="3"/>
  <c r="C105" i="3"/>
  <c r="D105" i="3" s="1"/>
  <c r="K104" i="3"/>
  <c r="L104" i="3" s="1"/>
  <c r="I104" i="3"/>
  <c r="J104" i="3" s="1"/>
  <c r="G104" i="3"/>
  <c r="H104" i="3" s="1"/>
  <c r="E104" i="3"/>
  <c r="F104" i="3" s="1"/>
  <c r="D104" i="3"/>
  <c r="C104" i="3"/>
  <c r="K103" i="3"/>
  <c r="L103" i="3" s="1"/>
  <c r="I103" i="3"/>
  <c r="J103" i="3" s="1"/>
  <c r="G103" i="3"/>
  <c r="H103" i="3" s="1"/>
  <c r="E103" i="3"/>
  <c r="F103" i="3" s="1"/>
  <c r="C103" i="3"/>
  <c r="D103" i="3" s="1"/>
  <c r="K102" i="3"/>
  <c r="L102" i="3" s="1"/>
  <c r="I102" i="3"/>
  <c r="J102" i="3" s="1"/>
  <c r="G102" i="3"/>
  <c r="H102" i="3" s="1"/>
  <c r="E102" i="3"/>
  <c r="F102" i="3" s="1"/>
  <c r="C102" i="3"/>
  <c r="D102" i="3" s="1"/>
  <c r="K101" i="3"/>
  <c r="L101" i="3" s="1"/>
  <c r="I101" i="3"/>
  <c r="J101" i="3" s="1"/>
  <c r="G101" i="3"/>
  <c r="H101" i="3" s="1"/>
  <c r="E101" i="3"/>
  <c r="F101" i="3" s="1"/>
  <c r="C101" i="3"/>
  <c r="D101" i="3" s="1"/>
  <c r="L100" i="3"/>
  <c r="K100" i="3"/>
  <c r="I100" i="3"/>
  <c r="J100" i="3" s="1"/>
  <c r="G100" i="3"/>
  <c r="H100" i="3" s="1"/>
  <c r="E100" i="3"/>
  <c r="F100" i="3" s="1"/>
  <c r="D100" i="3"/>
  <c r="C100" i="3"/>
  <c r="K99" i="3"/>
  <c r="L99" i="3" s="1"/>
  <c r="J99" i="3"/>
  <c r="I99" i="3"/>
  <c r="H99" i="3"/>
  <c r="G99" i="3"/>
  <c r="E99" i="3"/>
  <c r="F99" i="3" s="1"/>
  <c r="C99" i="3"/>
  <c r="D99" i="3" s="1"/>
  <c r="L98" i="3"/>
  <c r="K98" i="3"/>
  <c r="I98" i="3"/>
  <c r="J98" i="3" s="1"/>
  <c r="G98" i="3"/>
  <c r="H98" i="3" s="1"/>
  <c r="F98" i="3"/>
  <c r="E98" i="3"/>
  <c r="D98" i="3"/>
  <c r="C98" i="3"/>
  <c r="K97" i="3"/>
  <c r="L97" i="3" s="1"/>
  <c r="I97" i="3"/>
  <c r="J97" i="3" s="1"/>
  <c r="G97" i="3"/>
  <c r="H97" i="3" s="1"/>
  <c r="E97" i="3"/>
  <c r="F97" i="3" s="1"/>
  <c r="C97" i="3"/>
  <c r="D97" i="3" s="1"/>
  <c r="L96" i="3"/>
  <c r="K96" i="3"/>
  <c r="J96" i="3"/>
  <c r="I96" i="3"/>
  <c r="G96" i="3"/>
  <c r="H96" i="3" s="1"/>
  <c r="E96" i="3"/>
  <c r="F96" i="3" s="1"/>
  <c r="C96" i="3"/>
  <c r="D96" i="3" s="1"/>
  <c r="K95" i="3"/>
  <c r="L95" i="3" s="1"/>
  <c r="J95" i="3"/>
  <c r="I95" i="3"/>
  <c r="H95" i="3"/>
  <c r="G95" i="3"/>
  <c r="E95" i="3"/>
  <c r="F95" i="3" s="1"/>
  <c r="C95" i="3"/>
  <c r="D95" i="3" s="1"/>
  <c r="K94" i="3"/>
  <c r="L94" i="3" s="1"/>
  <c r="I94" i="3"/>
  <c r="J94" i="3" s="1"/>
  <c r="H94" i="3"/>
  <c r="G94" i="3"/>
  <c r="F94" i="3"/>
  <c r="E94" i="3"/>
  <c r="C94" i="3"/>
  <c r="D94" i="3" s="1"/>
  <c r="K93" i="3"/>
  <c r="L93" i="3" s="1"/>
  <c r="I93" i="3"/>
  <c r="J93" i="3" s="1"/>
  <c r="G93" i="3"/>
  <c r="H93" i="3" s="1"/>
  <c r="F93" i="3"/>
  <c r="E93" i="3"/>
  <c r="D93" i="3"/>
  <c r="C93" i="3"/>
  <c r="K92" i="3"/>
  <c r="L92" i="3" s="1"/>
  <c r="I92" i="3"/>
  <c r="J92" i="3" s="1"/>
  <c r="G92" i="3"/>
  <c r="H92" i="3" s="1"/>
  <c r="E92" i="3"/>
  <c r="F92" i="3" s="1"/>
  <c r="D92" i="3"/>
  <c r="C92" i="3"/>
  <c r="L91" i="3"/>
  <c r="K91" i="3"/>
  <c r="J91" i="3"/>
  <c r="I91" i="3"/>
  <c r="G91" i="3"/>
  <c r="H91" i="3" s="1"/>
  <c r="E91" i="3"/>
  <c r="F91" i="3" s="1"/>
  <c r="C91" i="3"/>
  <c r="D91" i="3" s="1"/>
  <c r="L90" i="3"/>
  <c r="K90" i="3"/>
  <c r="J90" i="3"/>
  <c r="I90" i="3"/>
  <c r="H90" i="3"/>
  <c r="G90" i="3"/>
  <c r="E90" i="3"/>
  <c r="F90" i="3" s="1"/>
  <c r="C90" i="3"/>
  <c r="D90" i="3" s="1"/>
  <c r="K89" i="3"/>
  <c r="L89" i="3" s="1"/>
  <c r="J89" i="3"/>
  <c r="I89" i="3"/>
  <c r="H89" i="3"/>
  <c r="G89" i="3"/>
  <c r="F89" i="3"/>
  <c r="E89" i="3"/>
  <c r="C89" i="3"/>
  <c r="D89" i="3" s="1"/>
  <c r="K88" i="3"/>
  <c r="L88" i="3" s="1"/>
  <c r="I88" i="3"/>
  <c r="J88" i="3" s="1"/>
  <c r="H88" i="3"/>
  <c r="G88" i="3"/>
  <c r="F88" i="3"/>
  <c r="E88" i="3"/>
  <c r="D88" i="3"/>
  <c r="C88" i="3"/>
  <c r="K87" i="3"/>
  <c r="L87" i="3" s="1"/>
  <c r="I87" i="3"/>
  <c r="J87" i="3" s="1"/>
  <c r="G87" i="3"/>
  <c r="H87" i="3" s="1"/>
  <c r="F87" i="3"/>
  <c r="E87" i="3"/>
  <c r="D87" i="3"/>
  <c r="C87" i="3"/>
  <c r="L86" i="3"/>
  <c r="K86" i="3"/>
  <c r="I86" i="3"/>
  <c r="J86" i="3" s="1"/>
  <c r="G86" i="3"/>
  <c r="H86" i="3" s="1"/>
  <c r="E86" i="3"/>
  <c r="F86" i="3" s="1"/>
  <c r="D86" i="3"/>
  <c r="C86" i="3"/>
  <c r="L85" i="3"/>
  <c r="K85" i="3"/>
  <c r="J85" i="3"/>
  <c r="I85" i="3"/>
  <c r="G85" i="3"/>
  <c r="H85" i="3" s="1"/>
  <c r="E85" i="3"/>
  <c r="F85" i="3" s="1"/>
  <c r="C85" i="3"/>
  <c r="D85" i="3" s="1"/>
  <c r="L84" i="3"/>
  <c r="K84" i="3"/>
  <c r="J84" i="3"/>
  <c r="I84" i="3"/>
  <c r="H84" i="3"/>
  <c r="G84" i="3"/>
  <c r="E84" i="3"/>
  <c r="F84" i="3" s="1"/>
  <c r="C84" i="3"/>
  <c r="D84" i="3" s="1"/>
  <c r="K83" i="3"/>
  <c r="L83" i="3" s="1"/>
  <c r="J83" i="3"/>
  <c r="I83" i="3"/>
  <c r="H83" i="3"/>
  <c r="G83" i="3"/>
  <c r="F83" i="3"/>
  <c r="E83" i="3"/>
  <c r="C83" i="3"/>
  <c r="D83" i="3" s="1"/>
  <c r="K82" i="3"/>
  <c r="L82" i="3" s="1"/>
  <c r="I82" i="3"/>
  <c r="J82" i="3" s="1"/>
  <c r="H82" i="3"/>
  <c r="G82" i="3"/>
  <c r="F82" i="3"/>
  <c r="E82" i="3"/>
  <c r="D82" i="3"/>
  <c r="C82" i="3"/>
  <c r="K81" i="3"/>
  <c r="L81" i="3" s="1"/>
  <c r="I81" i="3"/>
  <c r="J81" i="3" s="1"/>
  <c r="G81" i="3"/>
  <c r="H81" i="3" s="1"/>
  <c r="F81" i="3"/>
  <c r="E81" i="3"/>
  <c r="D81" i="3"/>
  <c r="C81" i="3"/>
  <c r="L80" i="3"/>
  <c r="K80" i="3"/>
  <c r="I80" i="3"/>
  <c r="J80" i="3" s="1"/>
  <c r="G80" i="3"/>
  <c r="H80" i="3" s="1"/>
  <c r="E80" i="3"/>
  <c r="F80" i="3" s="1"/>
  <c r="D80" i="3"/>
  <c r="C80" i="3"/>
  <c r="L79" i="3"/>
  <c r="K79" i="3"/>
  <c r="J79" i="3"/>
  <c r="I79" i="3"/>
  <c r="G79" i="3"/>
  <c r="H79" i="3" s="1"/>
  <c r="E79" i="3"/>
  <c r="F79" i="3" s="1"/>
  <c r="C79" i="3"/>
  <c r="D79" i="3" s="1"/>
  <c r="L78" i="3"/>
  <c r="K78" i="3"/>
  <c r="J78" i="3"/>
  <c r="I78" i="3"/>
  <c r="H78" i="3"/>
  <c r="G78" i="3"/>
  <c r="E78" i="3"/>
  <c r="F78" i="3" s="1"/>
  <c r="C78" i="3"/>
  <c r="D78" i="3" s="1"/>
  <c r="K77" i="3"/>
  <c r="L77" i="3" s="1"/>
  <c r="J77" i="3"/>
  <c r="I77" i="3"/>
  <c r="H77" i="3"/>
  <c r="G77" i="3"/>
  <c r="F77" i="3"/>
  <c r="E77" i="3"/>
  <c r="C77" i="3"/>
  <c r="D77" i="3" s="1"/>
  <c r="K76" i="3"/>
  <c r="L76" i="3" s="1"/>
  <c r="I76" i="3"/>
  <c r="J76" i="3" s="1"/>
  <c r="H76" i="3"/>
  <c r="G76" i="3"/>
  <c r="F76" i="3"/>
  <c r="E76" i="3"/>
  <c r="D76" i="3"/>
  <c r="C76" i="3"/>
  <c r="K75" i="3"/>
  <c r="L75" i="3" s="1"/>
  <c r="I75" i="3"/>
  <c r="J75" i="3" s="1"/>
  <c r="G75" i="3"/>
  <c r="H75" i="3" s="1"/>
  <c r="F75" i="3"/>
  <c r="E75" i="3"/>
  <c r="D75" i="3"/>
  <c r="C75" i="3"/>
  <c r="L74" i="3"/>
  <c r="K74" i="3"/>
  <c r="I74" i="3"/>
  <c r="J74" i="3" s="1"/>
  <c r="G74" i="3"/>
  <c r="H74" i="3" s="1"/>
  <c r="E74" i="3"/>
  <c r="F74" i="3" s="1"/>
  <c r="D74" i="3"/>
  <c r="C74" i="3"/>
  <c r="L73" i="3"/>
  <c r="K73" i="3"/>
  <c r="J73" i="3"/>
  <c r="I73" i="3"/>
  <c r="G73" i="3"/>
  <c r="H73" i="3" s="1"/>
  <c r="E73" i="3"/>
  <c r="F73" i="3" s="1"/>
  <c r="C73" i="3"/>
  <c r="D73" i="3" s="1"/>
  <c r="L72" i="3"/>
  <c r="K72" i="3"/>
  <c r="J72" i="3"/>
  <c r="I72" i="3"/>
  <c r="H72" i="3"/>
  <c r="G72" i="3"/>
  <c r="E72" i="3"/>
  <c r="F72" i="3" s="1"/>
  <c r="C72" i="3"/>
  <c r="D72" i="3" s="1"/>
  <c r="K71" i="3"/>
  <c r="L71" i="3" s="1"/>
  <c r="J71" i="3"/>
  <c r="I71" i="3"/>
  <c r="H71" i="3"/>
  <c r="G71" i="3"/>
  <c r="F71" i="3"/>
  <c r="E71" i="3"/>
  <c r="C71" i="3"/>
  <c r="D71" i="3" s="1"/>
  <c r="K70" i="3"/>
  <c r="L70" i="3" s="1"/>
  <c r="I70" i="3"/>
  <c r="J70" i="3" s="1"/>
  <c r="H70" i="3"/>
  <c r="G70" i="3"/>
  <c r="F70" i="3"/>
  <c r="E70" i="3"/>
  <c r="D70" i="3"/>
  <c r="C70" i="3"/>
  <c r="K69" i="3"/>
  <c r="L69" i="3" s="1"/>
  <c r="I69" i="3"/>
  <c r="J69" i="3" s="1"/>
  <c r="G69" i="3"/>
  <c r="H69" i="3" s="1"/>
  <c r="F69" i="3"/>
  <c r="E69" i="3"/>
  <c r="D69" i="3"/>
  <c r="C69" i="3"/>
  <c r="L68" i="3"/>
  <c r="K68" i="3"/>
  <c r="I68" i="3"/>
  <c r="J68" i="3" s="1"/>
  <c r="G68" i="3"/>
  <c r="H68" i="3" s="1"/>
  <c r="E68" i="3"/>
  <c r="F68" i="3" s="1"/>
  <c r="D68" i="3"/>
  <c r="C68" i="3"/>
  <c r="L67" i="3"/>
  <c r="K67" i="3"/>
  <c r="J67" i="3"/>
  <c r="I67" i="3"/>
  <c r="G67" i="3"/>
  <c r="H67" i="3" s="1"/>
  <c r="E67" i="3"/>
  <c r="F67" i="3" s="1"/>
  <c r="C67" i="3"/>
  <c r="D67" i="3" s="1"/>
  <c r="L66" i="3"/>
  <c r="K66" i="3"/>
  <c r="J66" i="3"/>
  <c r="I66" i="3"/>
  <c r="H66" i="3"/>
  <c r="G66" i="3"/>
  <c r="E66" i="3"/>
  <c r="F66" i="3" s="1"/>
  <c r="C66" i="3"/>
  <c r="D66" i="3" s="1"/>
  <c r="K65" i="3"/>
  <c r="L65" i="3" s="1"/>
  <c r="J65" i="3"/>
  <c r="I65" i="3"/>
  <c r="H65" i="3"/>
  <c r="G65" i="3"/>
  <c r="F65" i="3"/>
  <c r="E65" i="3"/>
  <c r="C65" i="3"/>
  <c r="D65" i="3" s="1"/>
  <c r="K64" i="3"/>
  <c r="L64" i="3" s="1"/>
  <c r="I64" i="3"/>
  <c r="J64" i="3" s="1"/>
  <c r="H64" i="3"/>
  <c r="G64" i="3"/>
  <c r="F64" i="3"/>
  <c r="E64" i="3"/>
  <c r="D64" i="3"/>
  <c r="C64" i="3"/>
  <c r="K63" i="3"/>
  <c r="L63" i="3" s="1"/>
  <c r="I63" i="3"/>
  <c r="J63" i="3" s="1"/>
  <c r="G63" i="3"/>
  <c r="H63" i="3" s="1"/>
  <c r="F63" i="3"/>
  <c r="E63" i="3"/>
  <c r="D63" i="3"/>
  <c r="C63" i="3"/>
  <c r="L62" i="3"/>
  <c r="K62" i="3"/>
  <c r="I62" i="3"/>
  <c r="J62" i="3" s="1"/>
  <c r="G62" i="3"/>
  <c r="H62" i="3" s="1"/>
  <c r="E62" i="3"/>
  <c r="F62" i="3" s="1"/>
  <c r="D62" i="3"/>
  <c r="C62" i="3"/>
  <c r="L61" i="3"/>
  <c r="K61" i="3"/>
  <c r="J61" i="3"/>
  <c r="I61" i="3"/>
  <c r="G61" i="3"/>
  <c r="H61" i="3" s="1"/>
  <c r="E61" i="3"/>
  <c r="F61" i="3" s="1"/>
  <c r="C61" i="3"/>
  <c r="D61" i="3" s="1"/>
  <c r="B5" i="4" s="1"/>
  <c r="L60" i="3"/>
  <c r="K60" i="3"/>
  <c r="J60" i="3"/>
  <c r="I60" i="3"/>
  <c r="H60" i="3"/>
  <c r="G60" i="3"/>
  <c r="E60" i="3"/>
  <c r="F60" i="3" s="1"/>
  <c r="H5" i="4" s="1"/>
  <c r="C60" i="3"/>
  <c r="D60" i="3" s="1"/>
  <c r="K59" i="3"/>
  <c r="L59" i="3" s="1"/>
  <c r="J59" i="3"/>
  <c r="I59" i="3"/>
  <c r="H59" i="3"/>
  <c r="G59" i="3"/>
  <c r="F59" i="3"/>
  <c r="E59" i="3"/>
  <c r="C59" i="3"/>
  <c r="D59" i="3" s="1"/>
  <c r="K58" i="3"/>
  <c r="L58" i="3" s="1"/>
  <c r="I58" i="3"/>
  <c r="J58" i="3" s="1"/>
  <c r="H58" i="3"/>
  <c r="G58" i="3"/>
  <c r="F58" i="3"/>
  <c r="E58" i="3"/>
  <c r="D58" i="3"/>
  <c r="C58" i="3"/>
  <c r="K57" i="3"/>
  <c r="L57" i="3" s="1"/>
  <c r="I57" i="3"/>
  <c r="J57" i="3" s="1"/>
  <c r="G57" i="3"/>
  <c r="H57" i="3" s="1"/>
  <c r="F57" i="3"/>
  <c r="E57" i="3"/>
  <c r="D57" i="3"/>
  <c r="C57" i="3"/>
  <c r="L56" i="3"/>
  <c r="K56" i="3"/>
  <c r="I56" i="3"/>
  <c r="J56" i="3" s="1"/>
  <c r="G56" i="3"/>
  <c r="H56" i="3" s="1"/>
  <c r="E56" i="3"/>
  <c r="F56" i="3" s="1"/>
  <c r="D56" i="3"/>
  <c r="C56" i="3"/>
  <c r="L55" i="3"/>
  <c r="K55" i="3"/>
  <c r="J55" i="3"/>
  <c r="I55" i="3"/>
  <c r="G55" i="3"/>
  <c r="H55" i="3" s="1"/>
  <c r="E55" i="3"/>
  <c r="F55" i="3" s="1"/>
  <c r="C55" i="3"/>
  <c r="D55" i="3" s="1"/>
  <c r="L54" i="3"/>
  <c r="K54" i="3"/>
  <c r="J54" i="3"/>
  <c r="I54" i="3"/>
  <c r="H54" i="3"/>
  <c r="G54" i="3"/>
  <c r="E54" i="3"/>
  <c r="F54" i="3" s="1"/>
  <c r="C54" i="3"/>
  <c r="D54" i="3" s="1"/>
  <c r="K53" i="3"/>
  <c r="L53" i="3" s="1"/>
  <c r="J53" i="3"/>
  <c r="I53" i="3"/>
  <c r="H53" i="3"/>
  <c r="G53" i="3"/>
  <c r="F53" i="3"/>
  <c r="C53" i="3"/>
  <c r="D53" i="3" s="1"/>
  <c r="K52" i="3"/>
  <c r="L52" i="3" s="1"/>
  <c r="I52" i="3"/>
  <c r="J52" i="3" s="1"/>
  <c r="H52" i="3"/>
  <c r="G52" i="3"/>
  <c r="F52" i="3"/>
  <c r="E52" i="3"/>
  <c r="D52" i="3"/>
  <c r="C52" i="3"/>
  <c r="K51" i="3"/>
  <c r="L51" i="3" s="1"/>
  <c r="I51" i="3"/>
  <c r="J51" i="3" s="1"/>
  <c r="G51" i="3"/>
  <c r="H51" i="3" s="1"/>
  <c r="F51" i="3"/>
  <c r="E51" i="3"/>
  <c r="D51" i="3"/>
  <c r="C51" i="3"/>
  <c r="L50" i="3"/>
  <c r="K50" i="3"/>
  <c r="I50" i="3"/>
  <c r="J50" i="3" s="1"/>
  <c r="G50" i="3"/>
  <c r="H50" i="3" s="1"/>
  <c r="E50" i="3"/>
  <c r="F50" i="3" s="1"/>
  <c r="D50" i="3"/>
  <c r="C50" i="3"/>
  <c r="L49" i="3"/>
  <c r="K49" i="3"/>
  <c r="J49" i="3"/>
  <c r="I49" i="3"/>
  <c r="G49" i="3"/>
  <c r="H49" i="3" s="1"/>
  <c r="E49" i="3"/>
  <c r="F49" i="3" s="1"/>
  <c r="C49" i="3"/>
  <c r="D49" i="3" s="1"/>
  <c r="L48" i="3"/>
  <c r="K48" i="3"/>
  <c r="J48" i="3"/>
  <c r="I48" i="3"/>
  <c r="H48" i="3"/>
  <c r="G48" i="3"/>
  <c r="E48" i="3"/>
  <c r="F48" i="3" s="1"/>
  <c r="C48" i="3"/>
  <c r="D48" i="3" s="1"/>
  <c r="K47" i="3"/>
  <c r="L47" i="3" s="1"/>
  <c r="J47" i="3"/>
  <c r="I47" i="3"/>
  <c r="H47" i="3"/>
  <c r="G47" i="3"/>
  <c r="F47" i="3"/>
  <c r="E47" i="3"/>
  <c r="C47" i="3"/>
  <c r="D47" i="3" s="1"/>
  <c r="K46" i="3"/>
  <c r="L46" i="3" s="1"/>
  <c r="I46" i="3"/>
  <c r="J46" i="3" s="1"/>
  <c r="H46" i="3"/>
  <c r="G46" i="3"/>
  <c r="F46" i="3"/>
  <c r="E46" i="3"/>
  <c r="D46" i="3"/>
  <c r="C46" i="3"/>
  <c r="K45" i="3"/>
  <c r="L45" i="3" s="1"/>
  <c r="I45" i="3"/>
  <c r="J45" i="3" s="1"/>
  <c r="G45" i="3"/>
  <c r="H45" i="3" s="1"/>
  <c r="F45" i="3"/>
  <c r="E45" i="3"/>
  <c r="D45" i="3"/>
  <c r="C45" i="3"/>
  <c r="L44" i="3"/>
  <c r="K44" i="3"/>
  <c r="I44" i="3"/>
  <c r="J44" i="3" s="1"/>
  <c r="G44" i="3"/>
  <c r="H44" i="3" s="1"/>
  <c r="E44" i="3"/>
  <c r="F44" i="3" s="1"/>
  <c r="D44" i="3"/>
  <c r="C44" i="3"/>
  <c r="L43" i="3"/>
  <c r="K43" i="3"/>
  <c r="J43" i="3"/>
  <c r="I43" i="3"/>
  <c r="G43" i="3"/>
  <c r="H43" i="3" s="1"/>
  <c r="E43" i="3"/>
  <c r="F43" i="3" s="1"/>
  <c r="C43" i="3"/>
  <c r="D43" i="3" s="1"/>
  <c r="L42" i="3"/>
  <c r="K42" i="3"/>
  <c r="J42" i="3"/>
  <c r="I42" i="3"/>
  <c r="H42" i="3"/>
  <c r="G42" i="3"/>
  <c r="E42" i="3"/>
  <c r="F42" i="3" s="1"/>
  <c r="C42" i="3"/>
  <c r="D42" i="3" s="1"/>
  <c r="K41" i="3"/>
  <c r="L41" i="3" s="1"/>
  <c r="J41" i="3"/>
  <c r="I41" i="3"/>
  <c r="H41" i="3"/>
  <c r="G41" i="3"/>
  <c r="F41" i="3"/>
  <c r="E41" i="3"/>
  <c r="C41" i="3"/>
  <c r="D41" i="3" s="1"/>
  <c r="K40" i="3"/>
  <c r="L40" i="3" s="1"/>
  <c r="I40" i="3"/>
  <c r="J40" i="3" s="1"/>
  <c r="H40" i="3"/>
  <c r="G40" i="3"/>
  <c r="F40" i="3"/>
  <c r="E40" i="3"/>
  <c r="D40" i="3"/>
  <c r="C40" i="3"/>
  <c r="K39" i="3"/>
  <c r="L39" i="3" s="1"/>
  <c r="I39" i="3"/>
  <c r="J39" i="3" s="1"/>
  <c r="G39" i="3"/>
  <c r="H39" i="3" s="1"/>
  <c r="F39" i="3"/>
  <c r="E39" i="3"/>
  <c r="D39" i="3"/>
  <c r="C39" i="3"/>
  <c r="L38" i="3"/>
  <c r="K38" i="3"/>
  <c r="I38" i="3"/>
  <c r="J38" i="3" s="1"/>
  <c r="G38" i="3"/>
  <c r="H38" i="3" s="1"/>
  <c r="E38" i="3"/>
  <c r="F38" i="3" s="1"/>
  <c r="D38" i="3"/>
  <c r="C38" i="3"/>
  <c r="L37" i="3"/>
  <c r="K37" i="3"/>
  <c r="J37" i="3"/>
  <c r="I37" i="3"/>
  <c r="G37" i="3"/>
  <c r="H37" i="3" s="1"/>
  <c r="E37" i="3"/>
  <c r="F37" i="3" s="1"/>
  <c r="C37" i="3"/>
  <c r="D37" i="3" s="1"/>
  <c r="L36" i="3"/>
  <c r="K36" i="3"/>
  <c r="J36" i="3"/>
  <c r="I36" i="3"/>
  <c r="H36" i="3"/>
  <c r="G36" i="3"/>
  <c r="E36" i="3"/>
  <c r="F36" i="3" s="1"/>
  <c r="C36" i="3"/>
  <c r="D36" i="3" s="1"/>
  <c r="K35" i="3"/>
  <c r="L35" i="3" s="1"/>
  <c r="J35" i="3"/>
  <c r="I35" i="3"/>
  <c r="H35" i="3"/>
  <c r="G35" i="3"/>
  <c r="F35" i="3"/>
  <c r="E35" i="3"/>
  <c r="C35" i="3"/>
  <c r="D35" i="3" s="1"/>
  <c r="K34" i="3"/>
  <c r="L34" i="3" s="1"/>
  <c r="I34" i="3"/>
  <c r="J34" i="3" s="1"/>
  <c r="H34" i="3"/>
  <c r="G34" i="3"/>
  <c r="F34" i="3"/>
  <c r="E34" i="3"/>
  <c r="D34" i="3"/>
  <c r="C34" i="3"/>
  <c r="K33" i="3"/>
  <c r="L33" i="3" s="1"/>
  <c r="I33" i="3"/>
  <c r="J33" i="3" s="1"/>
  <c r="G33" i="3"/>
  <c r="H33" i="3" s="1"/>
  <c r="F33" i="3"/>
  <c r="E33" i="3"/>
  <c r="D33" i="3"/>
  <c r="C33" i="3"/>
  <c r="L32" i="3"/>
  <c r="K32" i="3"/>
  <c r="I32" i="3"/>
  <c r="J32" i="3" s="1"/>
  <c r="G32" i="3"/>
  <c r="H32" i="3" s="1"/>
  <c r="E32" i="3"/>
  <c r="F32" i="3" s="1"/>
  <c r="D32" i="3"/>
  <c r="C32" i="3"/>
  <c r="L31" i="3"/>
  <c r="K31" i="3"/>
  <c r="J31" i="3"/>
  <c r="I31" i="3"/>
  <c r="G31" i="3"/>
  <c r="H31" i="3" s="1"/>
  <c r="E31" i="3"/>
  <c r="F31" i="3" s="1"/>
  <c r="C31" i="3"/>
  <c r="D31" i="3" s="1"/>
  <c r="L30" i="3"/>
  <c r="K30" i="3"/>
  <c r="J30" i="3"/>
  <c r="I30" i="3"/>
  <c r="H30" i="3"/>
  <c r="G30" i="3"/>
  <c r="E30" i="3"/>
  <c r="F30" i="3" s="1"/>
  <c r="C30" i="3"/>
  <c r="D30" i="3" s="1"/>
  <c r="K29" i="3"/>
  <c r="L29" i="3" s="1"/>
  <c r="J29" i="3"/>
  <c r="I29" i="3"/>
  <c r="H29" i="3"/>
  <c r="G29" i="3"/>
  <c r="F29" i="3"/>
  <c r="E29" i="3"/>
  <c r="C29" i="3"/>
  <c r="D29" i="3" s="1"/>
  <c r="K28" i="3"/>
  <c r="L28" i="3" s="1"/>
  <c r="I28" i="3"/>
  <c r="J28" i="3" s="1"/>
  <c r="H28" i="3"/>
  <c r="G28" i="3"/>
  <c r="F28" i="3"/>
  <c r="E28" i="3"/>
  <c r="D28" i="3"/>
  <c r="C28" i="3"/>
  <c r="K27" i="3"/>
  <c r="L27" i="3" s="1"/>
  <c r="I27" i="3"/>
  <c r="J27" i="3" s="1"/>
  <c r="G27" i="3"/>
  <c r="H27" i="3" s="1"/>
  <c r="F27" i="3"/>
  <c r="E27" i="3"/>
  <c r="D27" i="3"/>
  <c r="C27" i="3"/>
  <c r="L26" i="3"/>
  <c r="K26" i="3"/>
  <c r="I26" i="3"/>
  <c r="J26" i="3" s="1"/>
  <c r="G26" i="3"/>
  <c r="H26" i="3" s="1"/>
  <c r="E26" i="3"/>
  <c r="F26" i="3" s="1"/>
  <c r="D26" i="3"/>
  <c r="C26" i="3"/>
  <c r="L25" i="3"/>
  <c r="K25" i="3"/>
  <c r="J25" i="3"/>
  <c r="I25" i="3"/>
  <c r="G25" i="3"/>
  <c r="H25" i="3" s="1"/>
  <c r="E25" i="3"/>
  <c r="F25" i="3" s="1"/>
  <c r="C25" i="3"/>
  <c r="D25" i="3" s="1"/>
  <c r="L24" i="3"/>
  <c r="K24" i="3"/>
  <c r="J24" i="3"/>
  <c r="I24" i="3"/>
  <c r="G24" i="3"/>
  <c r="H24" i="3" s="1"/>
  <c r="F24" i="3"/>
  <c r="E24" i="3"/>
  <c r="C24" i="3"/>
  <c r="D24" i="3" s="1"/>
  <c r="K23" i="3"/>
  <c r="L23" i="3" s="1"/>
  <c r="J23" i="3"/>
  <c r="I23" i="3"/>
  <c r="H23" i="3"/>
  <c r="G23" i="3"/>
  <c r="E23" i="3"/>
  <c r="F23" i="3" s="1"/>
  <c r="D23" i="3"/>
  <c r="C23" i="3"/>
  <c r="K22" i="3"/>
  <c r="L22" i="3" s="1"/>
  <c r="I22" i="3"/>
  <c r="J22" i="3" s="1"/>
  <c r="H22" i="3"/>
  <c r="G22" i="3"/>
  <c r="F22" i="3"/>
  <c r="E22" i="3"/>
  <c r="C22" i="3"/>
  <c r="D22" i="3" s="1"/>
  <c r="L21" i="3"/>
  <c r="K21" i="3"/>
  <c r="I21" i="3"/>
  <c r="J21" i="3" s="1"/>
  <c r="G21" i="3"/>
  <c r="H21" i="3" s="1"/>
  <c r="F21" i="3"/>
  <c r="E21" i="3"/>
  <c r="D21" i="3"/>
  <c r="C21" i="3"/>
  <c r="K20" i="3"/>
  <c r="L20" i="3" s="1"/>
  <c r="J20" i="3"/>
  <c r="I20" i="3"/>
  <c r="G20" i="3"/>
  <c r="H20" i="3" s="1"/>
  <c r="E20" i="3"/>
  <c r="F20" i="3" s="1"/>
  <c r="D20" i="3"/>
  <c r="C20" i="3"/>
  <c r="L19" i="3"/>
  <c r="K19" i="3"/>
  <c r="I19" i="3"/>
  <c r="J19" i="3" s="1"/>
  <c r="H19" i="3"/>
  <c r="G19" i="3"/>
  <c r="E19" i="3"/>
  <c r="F19" i="3" s="1"/>
  <c r="C19" i="3"/>
  <c r="D19" i="3" s="1"/>
  <c r="L18" i="3"/>
  <c r="K18" i="3"/>
  <c r="J18" i="3"/>
  <c r="I18" i="3"/>
  <c r="G18" i="3"/>
  <c r="H18" i="3" s="1"/>
  <c r="F18" i="3"/>
  <c r="E18" i="3"/>
  <c r="C18" i="3"/>
  <c r="D18" i="3" s="1"/>
  <c r="K17" i="3"/>
  <c r="L17" i="3" s="1"/>
  <c r="J17" i="3"/>
  <c r="I17" i="3"/>
  <c r="H17" i="3"/>
  <c r="G17" i="3"/>
  <c r="E17" i="3"/>
  <c r="F17" i="3" s="1"/>
  <c r="D17" i="3"/>
  <c r="C17" i="3"/>
  <c r="K16" i="3"/>
  <c r="L16" i="3" s="1"/>
  <c r="I16" i="3"/>
  <c r="J16" i="3" s="1"/>
  <c r="H16" i="3"/>
  <c r="G16" i="3"/>
  <c r="F16" i="3"/>
  <c r="E16" i="3"/>
  <c r="C16" i="3"/>
  <c r="D16" i="3" s="1"/>
  <c r="L15" i="3"/>
  <c r="K15" i="3"/>
  <c r="I15" i="3"/>
  <c r="J15" i="3" s="1"/>
  <c r="G15" i="3"/>
  <c r="H15" i="3" s="1"/>
  <c r="F15" i="3"/>
  <c r="E15" i="3"/>
  <c r="D15" i="3"/>
  <c r="C15" i="3"/>
  <c r="K14" i="3"/>
  <c r="L14" i="3" s="1"/>
  <c r="J14" i="3"/>
  <c r="I14" i="3"/>
  <c r="G14" i="3"/>
  <c r="H14" i="3" s="1"/>
  <c r="E14" i="3"/>
  <c r="F14" i="3" s="1"/>
  <c r="D14" i="3"/>
  <c r="C14" i="3"/>
  <c r="L13" i="3"/>
  <c r="K13" i="3"/>
  <c r="I13" i="3"/>
  <c r="J13" i="3" s="1"/>
  <c r="H13" i="3"/>
  <c r="G13" i="3"/>
  <c r="E13" i="3"/>
  <c r="F13" i="3" s="1"/>
  <c r="C13" i="3"/>
  <c r="D13" i="3" s="1"/>
  <c r="L12" i="3"/>
  <c r="K12" i="3"/>
  <c r="J12" i="3"/>
  <c r="I12" i="3"/>
  <c r="G12" i="3"/>
  <c r="H12" i="3" s="1"/>
  <c r="F12" i="3"/>
  <c r="E12" i="3"/>
  <c r="C12" i="3"/>
  <c r="D12" i="3" s="1"/>
  <c r="K11" i="3"/>
  <c r="L11" i="3" s="1"/>
  <c r="J11" i="3"/>
  <c r="I11" i="3"/>
  <c r="H11" i="3"/>
  <c r="G11" i="3"/>
  <c r="E11" i="3"/>
  <c r="F11" i="3" s="1"/>
  <c r="D11" i="3"/>
  <c r="C11" i="3"/>
  <c r="K10" i="3"/>
  <c r="L10" i="3" s="1"/>
  <c r="I10" i="3"/>
  <c r="J10" i="3" s="1"/>
  <c r="H10" i="3"/>
  <c r="G10" i="3"/>
  <c r="F10" i="3"/>
  <c r="E10" i="3"/>
  <c r="C10" i="3"/>
  <c r="D10" i="3" s="1"/>
  <c r="L9" i="3"/>
  <c r="K9" i="3"/>
  <c r="I9" i="3"/>
  <c r="J9" i="3" s="1"/>
  <c r="G9" i="3"/>
  <c r="H9" i="3" s="1"/>
  <c r="F9" i="3"/>
  <c r="E9" i="3"/>
  <c r="D9" i="3"/>
  <c r="C9" i="3"/>
  <c r="K8" i="3"/>
  <c r="L8" i="3" s="1"/>
  <c r="J8" i="3"/>
  <c r="I8" i="3"/>
  <c r="G8" i="3"/>
  <c r="H8" i="3" s="1"/>
  <c r="E8" i="3"/>
  <c r="F8" i="3" s="1"/>
  <c r="D8" i="3"/>
  <c r="C8" i="3"/>
  <c r="L7" i="3"/>
  <c r="K7" i="3"/>
  <c r="I7" i="3"/>
  <c r="J7" i="3" s="1"/>
  <c r="H7" i="3"/>
  <c r="G7" i="3"/>
  <c r="E7" i="3"/>
  <c r="F7" i="3" s="1"/>
  <c r="C7" i="3"/>
  <c r="D7" i="3" s="1"/>
  <c r="L6" i="3"/>
  <c r="P5" i="5" s="1"/>
  <c r="K6" i="3"/>
  <c r="J6" i="3"/>
  <c r="I6" i="3"/>
  <c r="G6" i="3"/>
  <c r="H6" i="3" s="1"/>
  <c r="F6" i="3"/>
  <c r="E6" i="3"/>
  <c r="C6" i="3"/>
  <c r="D6" i="3" s="1"/>
  <c r="K5" i="3"/>
  <c r="L5" i="3" s="1"/>
  <c r="J5" i="3"/>
  <c r="I5" i="3"/>
  <c r="H5" i="3"/>
  <c r="G5" i="3"/>
  <c r="E5" i="3"/>
  <c r="F5" i="3" s="1"/>
  <c r="D5" i="3"/>
  <c r="C5" i="3"/>
  <c r="K4" i="3"/>
  <c r="L4" i="3" s="1"/>
  <c r="I4" i="3"/>
  <c r="J4" i="3" s="1"/>
  <c r="H4" i="3"/>
  <c r="G4" i="3"/>
  <c r="F4" i="3"/>
  <c r="E4" i="3"/>
  <c r="C4" i="3"/>
  <c r="D4" i="3" s="1"/>
  <c r="L3" i="3"/>
  <c r="K3" i="3"/>
  <c r="I3" i="3"/>
  <c r="J3" i="3" s="1"/>
  <c r="G3" i="3"/>
  <c r="H3" i="3" s="1"/>
  <c r="F3" i="3"/>
  <c r="E3" i="3"/>
  <c r="D3" i="3"/>
  <c r="C3" i="3"/>
  <c r="K2" i="3"/>
  <c r="L2" i="3" s="1"/>
  <c r="J2" i="3"/>
  <c r="I2" i="3"/>
  <c r="G2" i="3"/>
  <c r="H2" i="3" s="1"/>
  <c r="E2" i="3"/>
  <c r="F2" i="3" s="1"/>
  <c r="D2" i="3"/>
  <c r="C2" i="3"/>
  <c r="E5" i="5" l="1"/>
  <c r="C5" i="5"/>
  <c r="B5" i="5"/>
  <c r="D5" i="5"/>
  <c r="M11" i="5"/>
  <c r="L11" i="5"/>
  <c r="K11" i="5"/>
  <c r="J11" i="5"/>
  <c r="I16" i="5"/>
  <c r="G16" i="5"/>
  <c r="F16" i="5"/>
  <c r="H16" i="5"/>
  <c r="E3" i="4"/>
  <c r="D3" i="4"/>
  <c r="C3" i="4"/>
  <c r="B3" i="4"/>
  <c r="Q9" i="5"/>
  <c r="P9" i="5"/>
  <c r="O9" i="5"/>
  <c r="N9" i="5"/>
  <c r="M19" i="5"/>
  <c r="L19" i="5"/>
  <c r="K19" i="5"/>
  <c r="J19" i="5"/>
  <c r="M8" i="5"/>
  <c r="L8" i="5"/>
  <c r="K8" i="5"/>
  <c r="J8" i="5"/>
  <c r="I13" i="5"/>
  <c r="G13" i="5"/>
  <c r="F13" i="5"/>
  <c r="H13" i="5"/>
  <c r="E18" i="5"/>
  <c r="D18" i="5"/>
  <c r="C18" i="5"/>
  <c r="B18" i="5"/>
  <c r="Q4" i="5"/>
  <c r="P4" i="5"/>
  <c r="O4" i="5"/>
  <c r="N4" i="5"/>
  <c r="M14" i="5"/>
  <c r="L14" i="5"/>
  <c r="K14" i="5"/>
  <c r="J14" i="5"/>
  <c r="I19" i="5"/>
  <c r="H19" i="5"/>
  <c r="G19" i="5"/>
  <c r="F19" i="5"/>
  <c r="M5" i="5"/>
  <c r="L5" i="5"/>
  <c r="K5" i="5"/>
  <c r="J5" i="5"/>
  <c r="M13" i="5"/>
  <c r="L13" i="5"/>
  <c r="K13" i="5"/>
  <c r="J13" i="5"/>
  <c r="Q19" i="5"/>
  <c r="P19" i="5"/>
  <c r="O19" i="5"/>
  <c r="N19" i="5"/>
  <c r="Q16" i="5"/>
  <c r="P16" i="5"/>
  <c r="O16" i="5"/>
  <c r="N16" i="5"/>
  <c r="I18" i="5"/>
  <c r="H18" i="5"/>
  <c r="G18" i="5"/>
  <c r="F18" i="5"/>
  <c r="I7" i="5"/>
  <c r="G7" i="5"/>
  <c r="F7" i="5"/>
  <c r="H7" i="5"/>
  <c r="E12" i="5"/>
  <c r="D12" i="5"/>
  <c r="C12" i="5"/>
  <c r="B12" i="5"/>
  <c r="I4" i="5"/>
  <c r="G4" i="5"/>
  <c r="F4" i="5"/>
  <c r="H4" i="5"/>
  <c r="M7" i="5"/>
  <c r="L7" i="5"/>
  <c r="K7" i="5"/>
  <c r="J7" i="5"/>
  <c r="E9" i="5"/>
  <c r="D9" i="5"/>
  <c r="C9" i="5"/>
  <c r="B9" i="5"/>
  <c r="I12" i="5"/>
  <c r="H12" i="5"/>
  <c r="G12" i="5"/>
  <c r="F12" i="5"/>
  <c r="Q13" i="5"/>
  <c r="P13" i="5"/>
  <c r="O13" i="5"/>
  <c r="N13" i="5"/>
  <c r="E17" i="5"/>
  <c r="C17" i="5"/>
  <c r="B17" i="5"/>
  <c r="D17" i="5"/>
  <c r="Q3" i="4"/>
  <c r="O3" i="4"/>
  <c r="N3" i="4"/>
  <c r="P3" i="4"/>
  <c r="Q3" i="5"/>
  <c r="P3" i="5"/>
  <c r="O3" i="5"/>
  <c r="N3" i="5"/>
  <c r="I10" i="5"/>
  <c r="G10" i="5"/>
  <c r="F10" i="5"/>
  <c r="H10" i="5"/>
  <c r="E15" i="5"/>
  <c r="D15" i="5"/>
  <c r="C15" i="5"/>
  <c r="B15" i="5"/>
  <c r="M2" i="5"/>
  <c r="L2" i="5"/>
  <c r="K2" i="5"/>
  <c r="M2" i="4"/>
  <c r="K2" i="4"/>
  <c r="J2" i="4"/>
  <c r="L2" i="4"/>
  <c r="J2" i="5"/>
  <c r="Q10" i="5"/>
  <c r="P10" i="5"/>
  <c r="O10" i="5"/>
  <c r="N10" i="5"/>
  <c r="E6" i="5"/>
  <c r="D6" i="5"/>
  <c r="C6" i="5"/>
  <c r="B6" i="5"/>
  <c r="E3" i="5"/>
  <c r="D3" i="5"/>
  <c r="C3" i="5"/>
  <c r="B3" i="5"/>
  <c r="I6" i="5"/>
  <c r="H6" i="5"/>
  <c r="G6" i="5"/>
  <c r="F6" i="5"/>
  <c r="Q7" i="5"/>
  <c r="P7" i="5"/>
  <c r="O7" i="5"/>
  <c r="N7" i="5"/>
  <c r="E11" i="5"/>
  <c r="C11" i="5"/>
  <c r="B11" i="5"/>
  <c r="D11" i="5"/>
  <c r="Q15" i="5"/>
  <c r="P15" i="5"/>
  <c r="O15" i="5"/>
  <c r="N15" i="5"/>
  <c r="M17" i="5"/>
  <c r="L17" i="5"/>
  <c r="K17" i="5"/>
  <c r="J17" i="5"/>
  <c r="I5" i="5"/>
  <c r="H5" i="5"/>
  <c r="G5" i="5"/>
  <c r="F5" i="5"/>
  <c r="M4" i="5"/>
  <c r="L4" i="5"/>
  <c r="K4" i="5"/>
  <c r="J4" i="5"/>
  <c r="I9" i="5"/>
  <c r="H9" i="5"/>
  <c r="G9" i="5"/>
  <c r="F9" i="5"/>
  <c r="I15" i="5"/>
  <c r="H15" i="5"/>
  <c r="G15" i="5"/>
  <c r="F15" i="5"/>
  <c r="I8" i="4"/>
  <c r="H8" i="4"/>
  <c r="G8" i="4"/>
  <c r="F8" i="4"/>
  <c r="E4" i="5"/>
  <c r="D4" i="5"/>
  <c r="C4" i="5"/>
  <c r="B4" i="5"/>
  <c r="Q14" i="5"/>
  <c r="O14" i="5"/>
  <c r="N14" i="5"/>
  <c r="P14" i="5"/>
  <c r="E8" i="5"/>
  <c r="C8" i="5"/>
  <c r="B8" i="5"/>
  <c r="D8" i="5"/>
  <c r="E14" i="5"/>
  <c r="C14" i="5"/>
  <c r="B14" i="5"/>
  <c r="D14" i="5"/>
  <c r="Q18" i="5"/>
  <c r="P18" i="5"/>
  <c r="O18" i="5"/>
  <c r="N18" i="5"/>
  <c r="D7" i="4"/>
  <c r="E10" i="5"/>
  <c r="D10" i="5"/>
  <c r="C10" i="5"/>
  <c r="B10" i="5"/>
  <c r="M18" i="5"/>
  <c r="K18" i="5"/>
  <c r="J18" i="5"/>
  <c r="L18" i="5"/>
  <c r="Q12" i="5"/>
  <c r="P12" i="5"/>
  <c r="O12" i="5"/>
  <c r="N12" i="5"/>
  <c r="E9" i="4"/>
  <c r="D9" i="4"/>
  <c r="C9" i="4"/>
  <c r="B9" i="4"/>
  <c r="Q8" i="5"/>
  <c r="O8" i="5"/>
  <c r="N8" i="5"/>
  <c r="P8" i="5"/>
  <c r="I3" i="5"/>
  <c r="H3" i="5"/>
  <c r="G3" i="5"/>
  <c r="F3" i="5"/>
  <c r="I3" i="4"/>
  <c r="G3" i="4"/>
  <c r="F3" i="4"/>
  <c r="H3" i="4"/>
  <c r="I7" i="4"/>
  <c r="H7" i="4"/>
  <c r="G7" i="4"/>
  <c r="F7" i="4"/>
  <c r="Q8" i="4"/>
  <c r="P8" i="4"/>
  <c r="N8" i="4"/>
  <c r="Q2" i="4"/>
  <c r="P2" i="4"/>
  <c r="Q2" i="5"/>
  <c r="O2" i="5"/>
  <c r="N2" i="5"/>
  <c r="O2" i="4"/>
  <c r="N2" i="4"/>
  <c r="P2" i="5"/>
  <c r="M12" i="5"/>
  <c r="K12" i="5"/>
  <c r="J12" i="5"/>
  <c r="L12" i="5"/>
  <c r="I17" i="5"/>
  <c r="H17" i="5"/>
  <c r="F17" i="5"/>
  <c r="G17" i="5"/>
  <c r="O9" i="4"/>
  <c r="M6" i="5"/>
  <c r="K6" i="5"/>
  <c r="J6" i="5"/>
  <c r="L6" i="5"/>
  <c r="E16" i="5"/>
  <c r="D16" i="5"/>
  <c r="C16" i="5"/>
  <c r="B16" i="5"/>
  <c r="Q5" i="4"/>
  <c r="P5" i="4"/>
  <c r="O5" i="4"/>
  <c r="N5" i="4"/>
  <c r="M7" i="4"/>
  <c r="L7" i="4"/>
  <c r="K7" i="4"/>
  <c r="J7" i="4"/>
  <c r="M9" i="4"/>
  <c r="L9" i="4"/>
  <c r="K9" i="4"/>
  <c r="J9" i="4"/>
  <c r="Q4" i="4"/>
  <c r="O4" i="4"/>
  <c r="N4" i="4"/>
  <c r="P4" i="4"/>
  <c r="Q7" i="4"/>
  <c r="O7" i="4"/>
  <c r="N7" i="4"/>
  <c r="P7" i="4"/>
  <c r="E10" i="4"/>
  <c r="C10" i="4"/>
  <c r="B10" i="4"/>
  <c r="D10" i="4"/>
  <c r="O8" i="4"/>
  <c r="E2" i="4"/>
  <c r="D2" i="4"/>
  <c r="E2" i="5"/>
  <c r="C2" i="5"/>
  <c r="B2" i="5"/>
  <c r="D2" i="5"/>
  <c r="C2" i="4"/>
  <c r="B2" i="4"/>
  <c r="M10" i="5"/>
  <c r="L10" i="5"/>
  <c r="K10" i="5"/>
  <c r="J10" i="5"/>
  <c r="E6" i="4"/>
  <c r="D6" i="4"/>
  <c r="C6" i="4"/>
  <c r="B6" i="4"/>
  <c r="I10" i="4"/>
  <c r="H10" i="4"/>
  <c r="G10" i="4"/>
  <c r="F10" i="4"/>
  <c r="E5" i="4"/>
  <c r="D5" i="4"/>
  <c r="C5" i="4"/>
  <c r="I6" i="4"/>
  <c r="G6" i="4"/>
  <c r="F6" i="4"/>
  <c r="H6" i="4"/>
  <c r="Q11" i="4"/>
  <c r="P11" i="4"/>
  <c r="O11" i="4"/>
  <c r="N11" i="4"/>
  <c r="I11" i="5"/>
  <c r="H11" i="5"/>
  <c r="G11" i="5"/>
  <c r="F11" i="5"/>
  <c r="Q6" i="5"/>
  <c r="P6" i="5"/>
  <c r="O6" i="5"/>
  <c r="N6" i="5"/>
  <c r="M16" i="5"/>
  <c r="L16" i="5"/>
  <c r="K16" i="5"/>
  <c r="J16" i="5"/>
  <c r="I2" i="4"/>
  <c r="I2" i="5"/>
  <c r="H2" i="5"/>
  <c r="G2" i="5"/>
  <c r="F2" i="5"/>
  <c r="G2" i="4"/>
  <c r="F2" i="4"/>
  <c r="H2" i="4"/>
  <c r="M3" i="5"/>
  <c r="K3" i="5"/>
  <c r="J3" i="5"/>
  <c r="L3" i="5"/>
  <c r="Q5" i="5"/>
  <c r="O5" i="5"/>
  <c r="N5" i="5"/>
  <c r="E7" i="5"/>
  <c r="D7" i="5"/>
  <c r="C7" i="5"/>
  <c r="B7" i="5"/>
  <c r="I8" i="5"/>
  <c r="H8" i="5"/>
  <c r="G8" i="5"/>
  <c r="F8" i="5"/>
  <c r="M9" i="5"/>
  <c r="K9" i="5"/>
  <c r="J9" i="5"/>
  <c r="L9" i="5"/>
  <c r="Q11" i="5"/>
  <c r="O11" i="5"/>
  <c r="N11" i="5"/>
  <c r="P11" i="5"/>
  <c r="E13" i="5"/>
  <c r="D13" i="5"/>
  <c r="C13" i="5"/>
  <c r="B13" i="5"/>
  <c r="I14" i="5"/>
  <c r="H14" i="5"/>
  <c r="G14" i="5"/>
  <c r="F14" i="5"/>
  <c r="M15" i="5"/>
  <c r="K15" i="5"/>
  <c r="J15" i="5"/>
  <c r="L15" i="5"/>
  <c r="Q17" i="5"/>
  <c r="O17" i="5"/>
  <c r="N17" i="5"/>
  <c r="P17" i="5"/>
  <c r="E19" i="5"/>
  <c r="D19" i="5"/>
  <c r="C19" i="5"/>
  <c r="B19" i="5"/>
  <c r="M3" i="4"/>
  <c r="L3" i="4"/>
  <c r="K3" i="4"/>
  <c r="J3" i="4"/>
  <c r="E4" i="4"/>
  <c r="C4" i="4"/>
  <c r="B4" i="4"/>
  <c r="D4" i="4"/>
  <c r="I5" i="4"/>
  <c r="G5" i="4"/>
  <c r="F5" i="4"/>
  <c r="M6" i="4"/>
  <c r="L6" i="4"/>
  <c r="K6" i="4"/>
  <c r="J6" i="4"/>
  <c r="C8" i="4"/>
  <c r="I11" i="4"/>
  <c r="H11" i="4"/>
  <c r="G11" i="4"/>
  <c r="F11" i="4"/>
  <c r="M10" i="4"/>
  <c r="L10" i="4"/>
  <c r="J10" i="4"/>
  <c r="E8" i="4"/>
  <c r="D8" i="4"/>
  <c r="B8" i="4"/>
  <c r="Q10" i="4"/>
  <c r="O10" i="4"/>
  <c r="N10" i="4"/>
  <c r="P10" i="4"/>
  <c r="E12" i="4"/>
  <c r="D12" i="4"/>
  <c r="C12" i="4"/>
  <c r="B12" i="4"/>
  <c r="I9" i="4"/>
  <c r="G9" i="4"/>
  <c r="F9" i="4"/>
  <c r="H9" i="4"/>
  <c r="K10" i="4"/>
  <c r="I4" i="4"/>
  <c r="H4" i="4"/>
  <c r="G4" i="4"/>
  <c r="F4" i="4"/>
  <c r="M5" i="4"/>
  <c r="K5" i="4"/>
  <c r="J5" i="4"/>
  <c r="L5" i="4"/>
  <c r="H12" i="4"/>
  <c r="M4" i="4"/>
  <c r="L4" i="4"/>
  <c r="K4" i="4"/>
  <c r="J4" i="4"/>
  <c r="Q6" i="4"/>
  <c r="P6" i="4"/>
  <c r="O6" i="4"/>
  <c r="N6" i="4"/>
  <c r="E7" i="4"/>
  <c r="C7" i="4"/>
  <c r="B7" i="4"/>
  <c r="M8" i="4"/>
  <c r="K8" i="4"/>
  <c r="J8" i="4"/>
  <c r="L8" i="4"/>
  <c r="M12" i="4"/>
  <c r="L12" i="4"/>
  <c r="K12" i="4"/>
  <c r="Q9" i="4"/>
  <c r="P9" i="4"/>
  <c r="N9" i="4"/>
  <c r="Q12" i="4"/>
  <c r="P12" i="4"/>
  <c r="E11" i="4"/>
  <c r="D11" i="4"/>
  <c r="B11" i="4"/>
  <c r="N12" i="4"/>
  <c r="C11" i="4"/>
  <c r="O12" i="4"/>
  <c r="M11" i="4"/>
  <c r="K11" i="4"/>
  <c r="J11" i="4"/>
  <c r="I12" i="4"/>
  <c r="G12" i="4"/>
  <c r="F12" i="4"/>
  <c r="L11" i="4"/>
</calcChain>
</file>

<file path=xl/sharedStrings.xml><?xml version="1.0" encoding="utf-8"?>
<sst xmlns="http://schemas.openxmlformats.org/spreadsheetml/2006/main" count="716" uniqueCount="274">
  <si>
    <t>Se procesaron los datos analizando la matriz detectada. Las celdas vacías por inconvergencia fueron filtradas individualmente.</t>
  </si>
  <si>
    <t>PRECISIÓN NUMÉRICA: Cálculo flotante de 64 bits sin redondeos en memoria.</t>
  </si>
  <si>
    <t>Re</t>
  </si>
  <si>
    <t>Posición de trip (x/c)</t>
  </si>
  <si>
    <t>Cl_max</t>
  </si>
  <si>
    <t>alfa @ Cl_max</t>
  </si>
  <si>
    <t>Cd @ Cl_max</t>
  </si>
  <si>
    <t>(Cl/Cd)_max</t>
  </si>
  <si>
    <t>alfa @ (Cl/Cd)_max</t>
  </si>
  <si>
    <t>Cd @ (Cl/Cd)_max</t>
  </si>
  <si>
    <t>Cd @ Cl=0.50</t>
  </si>
  <si>
    <t>alfa @ Cl=0.50</t>
  </si>
  <si>
    <t>Encabezado original</t>
  </si>
  <si>
    <t>Libre</t>
  </si>
  <si>
    <t>T1_Re0.066_M0.00_N9.0</t>
  </si>
  <si>
    <t>5%</t>
  </si>
  <si>
    <t>T1_Re0.066_M0.00_N9.0_XtrTop 5%</t>
  </si>
  <si>
    <t>10%</t>
  </si>
  <si>
    <t>T1_Re0.066_M0.00_N9.0_XtrTop10%</t>
  </si>
  <si>
    <t>15%</t>
  </si>
  <si>
    <t>T1_Re0.066_M0.00_N9.0_XtrTop15%</t>
  </si>
  <si>
    <t>20%</t>
  </si>
  <si>
    <t>T1_Re0.066_M0.00_N9.0_XtrTop20%</t>
  </si>
  <si>
    <t>25%</t>
  </si>
  <si>
    <t>T1_Re0.066_M0.00_N9.0_XtrTop25%</t>
  </si>
  <si>
    <t>30%</t>
  </si>
  <si>
    <t>T1_Re0.066_M0.00_N9.0_XtrTop30%</t>
  </si>
  <si>
    <t>35%</t>
  </si>
  <si>
    <t>T1_Re0.066_M0.00_N9.0_XtrTop35%</t>
  </si>
  <si>
    <t>38%</t>
  </si>
  <si>
    <t>T1_Re0.066_M0.00_N9.0_XtrTop38%</t>
  </si>
  <si>
    <t>40%</t>
  </si>
  <si>
    <t>T1_Re0.066_M0.00_N9.0_XtrTop40%</t>
  </si>
  <si>
    <t>45%</t>
  </si>
  <si>
    <t>T1_Re0.066_M0.00_N9.0_XtrTop45%</t>
  </si>
  <si>
    <t>48%</t>
  </si>
  <si>
    <t>T1_Re0.066_M0.00_N9.0_XtrTop48%</t>
  </si>
  <si>
    <t>50%</t>
  </si>
  <si>
    <t>T1_Re0.066_M0.00_N9.0_XtrTop50%</t>
  </si>
  <si>
    <t>55%</t>
  </si>
  <si>
    <t>T1_Re0.066_M0.00_N9.0_XtrTop55%</t>
  </si>
  <si>
    <t>57%</t>
  </si>
  <si>
    <t>T1_Re0.066_M0.00_N9.0_XtrTop57%</t>
  </si>
  <si>
    <t>60%</t>
  </si>
  <si>
    <t>T1_Re0.066_M0.00_N9.0_XtrTop60%</t>
  </si>
  <si>
    <t>65%</t>
  </si>
  <si>
    <t>T1_Re0.066_M0.00_N9.0_XtrTop65%</t>
  </si>
  <si>
    <t>68%</t>
  </si>
  <si>
    <t>T1_Re0.066_M0.00_N9.0_XtrTop68%</t>
  </si>
  <si>
    <t>70%</t>
  </si>
  <si>
    <t>T1_Re0.066_M0.00_N9.0_XtrTop70%</t>
  </si>
  <si>
    <t>T1_Re0.073_M0.00_N9.0</t>
  </si>
  <si>
    <t>T1_Re0.073_M0.00_N9.0_XtrTop 5%</t>
  </si>
  <si>
    <t>T1_Re0.073_M0.00_N9.0_XtrTop10%</t>
  </si>
  <si>
    <t>T1_Re0.073_M0.00_N9.0_XtrTop15%</t>
  </si>
  <si>
    <t>T1_Re0.073_M0.00_N9.0_XtrTop20%</t>
  </si>
  <si>
    <t>T1_Re0.073_M0.00_N9.0_XtrTop25%</t>
  </si>
  <si>
    <t>T1_Re0.073_M0.00_N9.0_XtrTop30%</t>
  </si>
  <si>
    <t>T1_Re0.073_M0.00_N9.0_XtrTop35%</t>
  </si>
  <si>
    <t>T1_Re0.073_M0.00_N9.0_XtrTop38%</t>
  </si>
  <si>
    <t>T1_Re0.073_M0.00_N9.0_XtrTop40%</t>
  </si>
  <si>
    <t>T1_Re0.073_M0.00_N9.0_XtrTop45%</t>
  </si>
  <si>
    <t>T1_Re0.073_M0.00_N9.0_XtrTop48%</t>
  </si>
  <si>
    <t>T1_Re0.073_M0.00_N9.0_XtrTop50%</t>
  </si>
  <si>
    <t>T1_Re0.073_M0.00_N9.0_XtrTop55%</t>
  </si>
  <si>
    <t>T1_Re0.073_M0.00_N9.0_XtrTop57%</t>
  </si>
  <si>
    <t>T1_Re0.073_M0.00_N9.0_XtrTop60%</t>
  </si>
  <si>
    <t>T1_Re0.073_M0.00_N9.0_XtrTop65%</t>
  </si>
  <si>
    <t>T1_Re0.073_M0.00_N9.0_XtrTop68%</t>
  </si>
  <si>
    <t>T1_Re0.073_M0.00_N9.0_XtrTop70%</t>
  </si>
  <si>
    <t>T1_Re0.079_M0.00_N9.0</t>
  </si>
  <si>
    <t>T1_Re0.079_M0.00_N9.0_XtrTop 5%</t>
  </si>
  <si>
    <t>T1_Re0.079_M0.00_N9.0_XtrTop10%</t>
  </si>
  <si>
    <t>T1_Re0.079_M0.00_N9.0_XtrTop15%</t>
  </si>
  <si>
    <t>T1_Re0.079_M0.00_N9.0_XtrTop20%</t>
  </si>
  <si>
    <t>T1_Re0.079_M0.00_N9.0_XtrTop25%</t>
  </si>
  <si>
    <t>T1_Re0.079_M0.00_N9.0_XtrTop30%</t>
  </si>
  <si>
    <t>T1_Re0.079_M0.00_N9.0_XtrTop35%</t>
  </si>
  <si>
    <t>T1_Re0.079_M0.00_N9.0_XtrTop38%</t>
  </si>
  <si>
    <t>T1_Re0.079_M0.00_N9.0_XtrTop40%</t>
  </si>
  <si>
    <t>T1_Re0.079_M0.00_N9.0_XtrTop45%</t>
  </si>
  <si>
    <t>T1_Re0.079_M0.00_N9.0_XtrTop48%</t>
  </si>
  <si>
    <t>T1_Re0.079_M0.00_N9.0_XtrTop50%</t>
  </si>
  <si>
    <t>T1_Re0.079_M0.00_N9.0_XtrTop55%</t>
  </si>
  <si>
    <t>T1_Re0.079_M0.00_N9.0_XtrTop57%</t>
  </si>
  <si>
    <t>T1_Re0.079_M0.00_N9.0_XtrTop60%</t>
  </si>
  <si>
    <t>T1_Re0.079_M0.00_N9.0_XtrTop65%</t>
  </si>
  <si>
    <t>T1_Re0.079_M0.00_N9.0_XtrTop68%</t>
  </si>
  <si>
    <t>T1_Re0.079_M0.00_N9.0_XtrTop70%</t>
  </si>
  <si>
    <t>T1_Re0.092_M0.00_N9.0</t>
  </si>
  <si>
    <t>T1_Re0.092_M0.00_N9.0_XtrTop 5%</t>
  </si>
  <si>
    <t>T1_Re0.092_M0.00_N9.0_XtrTop10%</t>
  </si>
  <si>
    <t>T1_Re0.092_M0.00_N9.0_XtrTop15%</t>
  </si>
  <si>
    <t>T1_Re0.092_M0.00_N9.0_XtrTop20%</t>
  </si>
  <si>
    <t>T1_Re0.092_M0.00_N9.0_XtrTop25%</t>
  </si>
  <si>
    <t>T1_Re0.092_M0.00_N9.0_XtrTop30%</t>
  </si>
  <si>
    <t>T1_Re0.092_M0.00_N9.0_XtrTop35%</t>
  </si>
  <si>
    <t>T1_Re0.092_M0.00_N9.0_XtrTop38%</t>
  </si>
  <si>
    <t>T1_Re0.092_M0.00_N9.0_XtrTop40%</t>
  </si>
  <si>
    <t>T1_Re0.092_M0.00_N9.0_XtrTop45%</t>
  </si>
  <si>
    <t>T1_Re0.092_M0.00_N9.0_XtrTop48%</t>
  </si>
  <si>
    <t>T1_Re0.092_M0.00_N9.0_XtrTop50%</t>
  </si>
  <si>
    <t>T1_Re0.092_M0.00_N9.0_XtrTop55%</t>
  </si>
  <si>
    <t>T1_Re0.092_M0.00_N9.0_XtrTop57%</t>
  </si>
  <si>
    <t>T1_Re0.092_M0.00_N9.0_XtrTop60%</t>
  </si>
  <si>
    <t>T1_Re0.092_M0.00_N9.0_XtrTop65%</t>
  </si>
  <si>
    <t>T1_Re0.092_M0.00_N9.0_XtrTop68%</t>
  </si>
  <si>
    <t>T1_Re0.092_M0.00_N9.0_XtrTop70%</t>
  </si>
  <si>
    <t>T1_Re0.099_M0.00_N9.0</t>
  </si>
  <si>
    <t>T1_Re0.099_M0.00_N9.0_XtrTop 5%</t>
  </si>
  <si>
    <t>T1_Re0.099_M0.00_N9.0_XtrTop10%</t>
  </si>
  <si>
    <t>T1_Re0.099_M0.00_N9.0_XtrTop15%</t>
  </si>
  <si>
    <t>T1_Re0.099_M0.00_N9.0_XtrTop20%</t>
  </si>
  <si>
    <t>T1_Re0.099_M0.00_N9.0_XtrTop25%</t>
  </si>
  <si>
    <t>T1_Re0.099_M0.00_N9.0_XtrTop30%</t>
  </si>
  <si>
    <t>T1_Re0.099_M0.00_N9.0_XtrTop35%</t>
  </si>
  <si>
    <t>T1_Re0.099_M0.00_N9.0_XtrTop38%</t>
  </si>
  <si>
    <t>T1_Re0.099_M0.00_N9.0_XtrTop40%</t>
  </si>
  <si>
    <t>T1_Re0.099_M0.00_N9.0_XtrTop45%</t>
  </si>
  <si>
    <t>T1_Re0.099_M0.00_N9.0_XtrTop48%</t>
  </si>
  <si>
    <t>T1_Re0.099_M0.00_N9.0_XtrTop50%</t>
  </si>
  <si>
    <t>T1_Re0.099_M0.00_N9.0_XtrTop55%</t>
  </si>
  <si>
    <t>T1_Re0.099_M0.00_N9.0_XtrTop57%</t>
  </si>
  <si>
    <t>T1_Re0.099_M0.00_N9.0_XtrTop60%</t>
  </si>
  <si>
    <t>T1_Re0.099_M0.00_N9.0_XtrTop65%</t>
  </si>
  <si>
    <t>T1_Re0.099_M0.00_N9.0_XtrTop68%</t>
  </si>
  <si>
    <t>T1_Re0.099_M0.00_N9.0_XtrTop70%</t>
  </si>
  <si>
    <t>T1_Re0.119_M0.00_N9.0</t>
  </si>
  <si>
    <t>T1_Re0.119_M0.00_N9.0_XtrTop 5%</t>
  </si>
  <si>
    <t>T1_Re0.119_M0.00_N9.0_XtrTop10%</t>
  </si>
  <si>
    <t>T1_Re0.119_M0.00_N9.0_XtrTop15%</t>
  </si>
  <si>
    <t>T1_Re0.119_M0.00_N9.0_XtrTop20%</t>
  </si>
  <si>
    <t>T1_Re0.119_M0.00_N9.0_XtrTop25%</t>
  </si>
  <si>
    <t>T1_Re0.119_M0.00_N9.0_XtrTop30%</t>
  </si>
  <si>
    <t>T1_Re0.119_M0.00_N9.0_XtrTop35%</t>
  </si>
  <si>
    <t>T1_Re0.119_M0.00_N9.0_XtrTop38%</t>
  </si>
  <si>
    <t>T1_Re0.119_M0.00_N9.0_XtrTop40%</t>
  </si>
  <si>
    <t>T1_Re0.119_M0.00_N9.0_XtrTop45%</t>
  </si>
  <si>
    <t>T1_Re0.119_M0.00_N9.0_XtrTop48%</t>
  </si>
  <si>
    <t>T1_Re0.119_M0.00_N9.0_XtrTop50%</t>
  </si>
  <si>
    <t>T1_Re0.119_M0.00_N9.0_XtrTop55%</t>
  </si>
  <si>
    <t>T1_Re0.119_M0.00_N9.0_XtrTop57%</t>
  </si>
  <si>
    <t>T1_Re0.119_M0.00_N9.0_XtrTop60%</t>
  </si>
  <si>
    <t>T1_Re0.119_M0.00_N9.0_XtrTop65%</t>
  </si>
  <si>
    <t>T1_Re0.119_M0.00_N9.0_XtrTop68%</t>
  </si>
  <si>
    <t>T1_Re0.119_M0.00_N9.0_XtrTop70%</t>
  </si>
  <si>
    <t>T1_Re0.126_M0.00_N9.0</t>
  </si>
  <si>
    <t>T1_Re0.126_M0.00_N9.0_XtrTop 5%</t>
  </si>
  <si>
    <t>T1_Re0.126_M0.00_N9.0_XtrTop10%</t>
  </si>
  <si>
    <t>T1_Re0.126_M0.00_N9.0_XtrTop15%</t>
  </si>
  <si>
    <t>T1_Re0.126_M0.00_N9.0_XtrTop20%</t>
  </si>
  <si>
    <t>T1_Re0.126_M0.00_N9.0_XtrTop25%</t>
  </si>
  <si>
    <t>T1_Re0.126_M0.00_N9.0_XtrTop30%</t>
  </si>
  <si>
    <t>T1_Re0.126_M0.00_N9.0_XtrTop35%</t>
  </si>
  <si>
    <t>T1_Re0.126_M0.00_N9.0_XtrTop38%</t>
  </si>
  <si>
    <t>T1_Re0.126_M0.00_N9.0_XtrTop40%</t>
  </si>
  <si>
    <t>T1_Re0.126_M0.00_N9.0_XtrTop45%</t>
  </si>
  <si>
    <t>T1_Re0.126_M0.00_N9.0_XtrTop48%</t>
  </si>
  <si>
    <t>T1_Re0.126_M0.00_N9.0_XtrTop50%</t>
  </si>
  <si>
    <t>T1_Re0.126_M0.00_N9.0_XtrTop55%</t>
  </si>
  <si>
    <t>T1_Re0.126_M0.00_N9.0_XtrTop57%</t>
  </si>
  <si>
    <t>T1_Re0.126_M0.00_N9.0_XtrTop60%</t>
  </si>
  <si>
    <t>T1_Re0.126_M0.00_N9.0_XtrTop65%</t>
  </si>
  <si>
    <t>T1_Re0.126_M0.00_N9.0_XtrTop68%</t>
  </si>
  <si>
    <t>T1_Re0.126_M0.00_N9.0_XtrTop70%</t>
  </si>
  <si>
    <t>T1_Re0.132_M0.00_N9.0</t>
  </si>
  <si>
    <t>T1_Re0.132_M0.00_N9.0_XtrTop 5%</t>
  </si>
  <si>
    <t>T1_Re0.132_M0.00_N9.0_XtrTop10%</t>
  </si>
  <si>
    <t>T1_Re0.132_M0.00_N9.0_XtrTop15%</t>
  </si>
  <si>
    <t>T1_Re0.132_M0.00_N9.0_XtrTop20%</t>
  </si>
  <si>
    <t>T1_Re0.132_M0.00_N9.0_XtrTop25%</t>
  </si>
  <si>
    <t>T1_Re0.132_M0.00_N9.0_XtrTop30%</t>
  </si>
  <si>
    <t>T1_Re0.132_M0.00_N9.0_XtrTop35%</t>
  </si>
  <si>
    <t>T1_Re0.132_M0.00_N9.0_XtrTop38%</t>
  </si>
  <si>
    <t>T1_Re0.132_M0.00_N9.0_XtrTop40%</t>
  </si>
  <si>
    <t>T1_Re0.132_M0.00_N9.0_XtrTop45%</t>
  </si>
  <si>
    <t>T1_Re0.132_M0.00_N9.0_XtrTop48%</t>
  </si>
  <si>
    <t>T1_Re0.132_M0.00_N9.0_XtrTop50%</t>
  </si>
  <si>
    <t>T1_Re0.132_M0.00_N9.0_XtrTop55%</t>
  </si>
  <si>
    <t>T1_Re0.132_M0.00_N9.0_XtrTop57%</t>
  </si>
  <si>
    <t>T1_Re0.132_M0.00_N9.0_XtrTop60%</t>
  </si>
  <si>
    <t>T1_Re0.132_M0.00_N9.0_XtrTop65%</t>
  </si>
  <si>
    <t>T1_Re0.132_M0.00_N9.0_XtrTop68%</t>
  </si>
  <si>
    <t>T1_Re0.132_M0.00_N9.0_XtrTop70%</t>
  </si>
  <si>
    <t>T1_Re0.165_M0.00_N9.0</t>
  </si>
  <si>
    <t>T1_Re0.165_M0.00_N9.0_XtrTop 5%</t>
  </si>
  <si>
    <t>T1_Re0.165_M0.00_N9.0_XtrTop10%</t>
  </si>
  <si>
    <t>T1_Re0.165_M0.00_N9.0_XtrTop15%</t>
  </si>
  <si>
    <t>T1_Re0.165_M0.00_N9.0_XtrTop20%</t>
  </si>
  <si>
    <t>T1_Re0.165_M0.00_N9.0_XtrTop25%</t>
  </si>
  <si>
    <t>T1_Re0.165_M0.00_N9.0_XtrTop30%</t>
  </si>
  <si>
    <t>T1_Re0.165_M0.00_N9.0_XtrTop35%</t>
  </si>
  <si>
    <t>T1_Re0.165_M0.00_N9.0_XtrTop38%</t>
  </si>
  <si>
    <t>T1_Re0.165_M0.00_N9.0_XtrTop40%</t>
  </si>
  <si>
    <t>T1_Re0.165_M0.00_N9.0_XtrTop45%</t>
  </si>
  <si>
    <t>T1_Re0.165_M0.00_N9.0_XtrTop48%</t>
  </si>
  <si>
    <t>T1_Re0.165_M0.00_N9.0_XtrTop50%</t>
  </si>
  <si>
    <t>T1_Re0.165_M0.00_N9.0_XtrTop55%</t>
  </si>
  <si>
    <t>T1_Re0.165_M0.00_N9.0_XtrTop57%</t>
  </si>
  <si>
    <t>T1_Re0.165_M0.00_N9.0_XtrTop60%</t>
  </si>
  <si>
    <t>T1_Re0.165_M0.00_N9.0_XtrTop65%</t>
  </si>
  <si>
    <t>T1_Re0.165_M0.00_N9.0_XtrTop68%</t>
  </si>
  <si>
    <t>T1_Re0.165_M0.00_N9.0_XtrTop70%</t>
  </si>
  <si>
    <t>T1_Re0.198_M0.00_N9.0</t>
  </si>
  <si>
    <t>T1_Re0.198_M0.00_N9.0_XtrTop 5%</t>
  </si>
  <si>
    <t>T1_Re0.198_M0.00_N9.0_XtrTop10%</t>
  </si>
  <si>
    <t>T1_Re0.198_M0.00_N9.0_XtrTop15%</t>
  </si>
  <si>
    <t>T1_Re0.198_M0.00_N9.0_XtrTop20%</t>
  </si>
  <si>
    <t>T1_Re0.198_M0.00_N9.0_XtrTop25%</t>
  </si>
  <si>
    <t>T1_Re0.198_M0.00_N9.0_XtrTop30%</t>
  </si>
  <si>
    <t>T1_Re0.198_M0.00_N9.0_XtrTop35%</t>
  </si>
  <si>
    <t>T1_Re0.198_M0.00_N9.0_XtrTop38%</t>
  </si>
  <si>
    <t>T1_Re0.198_M0.00_N9.0_XtrTop40%</t>
  </si>
  <si>
    <t>T1_Re0.198_M0.00_N9.0_XtrTop45%</t>
  </si>
  <si>
    <t>T1_Re0.198_M0.00_N9.0_XtrTop48%</t>
  </si>
  <si>
    <t>T1_Re0.198_M0.00_N9.0_XtrTop50%</t>
  </si>
  <si>
    <t>T1_Re0.198_M0.00_N9.0_XtrTop55%</t>
  </si>
  <si>
    <t>T1_Re0.198_M0.00_N9.0_XtrTop57%</t>
  </si>
  <si>
    <t>T1_Re0.198_M0.00_N9.0_XtrTop60%</t>
  </si>
  <si>
    <t>T1_Re0.198_M0.00_N9.0_XtrTop65%</t>
  </si>
  <si>
    <t>T1_Re0.198_M0.00_N9.0_XtrTop68%</t>
  </si>
  <si>
    <t>T1_Re0.198_M0.00_N9.0_XtrTop70%</t>
  </si>
  <si>
    <t>T1_Re0.231_M0.00_N9.0</t>
  </si>
  <si>
    <t>T1_Re0.231_M0.00_N9.0_XtrTop 5%</t>
  </si>
  <si>
    <t>T1_Re0.231_M0.00_N9.0_XtrTop10%</t>
  </si>
  <si>
    <t>T1_Re0.231_M0.00_N9.0_XtrTop15%</t>
  </si>
  <si>
    <t>T1_Re0.231_M0.00_N9.0_XtrTop20%</t>
  </si>
  <si>
    <t>T1_Re0.231_M0.00_N9.0_XtrTop25%</t>
  </si>
  <si>
    <t>T1_Re0.231_M0.00_N9.0_XtrTop30%</t>
  </si>
  <si>
    <t>T1_Re0.231_M0.00_N9.0_XtrTop35%</t>
  </si>
  <si>
    <t>T1_Re0.231_M0.00_N9.0_XtrTop38%</t>
  </si>
  <si>
    <t>T1_Re0.231_M0.00_N9.0_XtrTop40%</t>
  </si>
  <si>
    <t>T1_Re0.231_M0.00_N9.0_XtrTop45%</t>
  </si>
  <si>
    <t>T1_Re0.231_M0.00_N9.0_XtrTop48%</t>
  </si>
  <si>
    <t>T1_Re0.231_M0.00_N9.0_XtrTop50%</t>
  </si>
  <si>
    <t>T1_Re0.231_M0.00_N9.0_XtrTop55%</t>
  </si>
  <si>
    <t>T1_Re0.231_M0.00_N9.0_XtrTop57%</t>
  </si>
  <si>
    <t>T1_Re0.231_M0.00_N9.0_XtrTop60%</t>
  </si>
  <si>
    <t>T1_Re0.231_M0.00_N9.0_XtrTop65%</t>
  </si>
  <si>
    <t>T1_Re0.231_M0.00_N9.0_XtrTop68%</t>
  </si>
  <si>
    <t>T1_Re0.231_M0.00_N9.0_XtrTop70%</t>
  </si>
  <si>
    <t>% var. Cl_max</t>
  </si>
  <si>
    <t>% var. Cd @ Cl_max</t>
  </si>
  <si>
    <t>% var. (Cl/Cd)_max</t>
  </si>
  <si>
    <t>% var. Cd @ (Cl/Cd)_max</t>
  </si>
  <si>
    <t>% var. Cd @ Cl=0.50</t>
  </si>
  <si>
    <t>Promedio %var Cl_max</t>
  </si>
  <si>
    <t>DesvEst %var Cl_max</t>
  </si>
  <si>
    <t>Rango %var Cl_max</t>
  </si>
  <si>
    <t>Máx |%var| Cl_max</t>
  </si>
  <si>
    <t>Promedio %var Cd@Clmax</t>
  </si>
  <si>
    <t>DesvEst %var Cd@Clmax</t>
  </si>
  <si>
    <t>Rango %var Cd@Clmax</t>
  </si>
  <si>
    <t>Máx |%var| Cd@Clmax</t>
  </si>
  <si>
    <t>Promedio %var Cl/Cd_max</t>
  </si>
  <si>
    <t>DesvEst %var Cl/Cd_max</t>
  </si>
  <si>
    <t>Rango %var Cl/Cd_max</t>
  </si>
  <si>
    <t>Máx |%var| Cl/Cd_max</t>
  </si>
  <si>
    <t>Promedio %var Cd@Cl=0.50</t>
  </si>
  <si>
    <t>DesvEst %var Cd@Cl=0.50</t>
  </si>
  <si>
    <t>Rango %var Cd@Cl=0.50</t>
  </si>
  <si>
    <t>Máx |%var| Cd@Cl=0.50</t>
  </si>
  <si>
    <r>
      <t>Posición de Trip (</t>
    </r>
    <r>
      <rPr>
        <sz val="11"/>
        <color theme="1"/>
        <rFont val="Arial"/>
        <family val="2"/>
      </rPr>
      <t>x/c</t>
    </r>
    <r>
      <rPr>
        <sz val="11"/>
        <color theme="1"/>
        <rFont val="Calibri"/>
        <family val="2"/>
        <scheme val="minor"/>
      </rPr>
      <t>)</t>
    </r>
  </si>
  <si>
    <r>
      <t xml:space="preserve">Ángulo de Ataque </t>
    </r>
    <r>
      <rPr>
        <sz val="11"/>
        <color theme="1"/>
        <rFont val="Aptos Narrow"/>
        <family val="2"/>
      </rPr>
      <t>@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CL=0,50</t>
    </r>
  </si>
  <si>
    <t>Evaluación de la Continuidad Física</t>
  </si>
  <si>
    <t>CD_@CL=0,50 (Interpolado)</t>
  </si>
  <si>
    <r>
      <t>Variación Porcentual frente a Libre (</t>
    </r>
    <r>
      <rPr>
        <sz val="11"/>
        <color theme="1"/>
        <rFont val="Arial"/>
        <family val="2"/>
      </rPr>
      <t>%∆ CD</t>
    </r>
    <r>
      <rPr>
        <sz val="11"/>
        <color theme="1"/>
        <rFont val="Calibri"/>
        <family val="2"/>
        <scheme val="minor"/>
      </rPr>
      <t>)</t>
    </r>
  </si>
  <si>
    <t>Libre (Línea Base)</t>
  </si>
  <si>
    <t>Re= 119K</t>
  </si>
  <si>
    <t>0%(referencia)</t>
  </si>
  <si>
    <t>Caso base de referencia (transición natural)</t>
  </si>
  <si>
    <t>Reducción progresiva de CD por control de la burbuja</t>
  </si>
  <si>
    <t>Comportamiento suave y continuo sin artefactos</t>
  </si>
  <si>
    <t>Tendencia monótona previsible en el tramo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</si>
</sst>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%"/>
  </numFmts>
  <fonts count="8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12</xdr:col>
      <xdr:colOff>548962</xdr:colOff>
      <xdr:row>3</xdr:row>
      <xdr:rowOff>259154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31D2F6-E9EB-70A5-F69F-EF1C20702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518160"/>
          <a:ext cx="3718882" cy="853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15.21875" bestFit="1" customWidth="1"/>
  </cols>
  <sheetData>
    <row r="1" spans="1:1" x14ac:dyDescent="0.3">
      <c r="A1" s="1"/>
    </row>
    <row r="2" spans="1:1" x14ac:dyDescent="0.3">
      <c r="A2" s="2" t="s">
        <v>0</v>
      </c>
    </row>
    <row r="3" spans="1:1" x14ac:dyDescent="0.3">
      <c r="A3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0"/>
  <sheetViews>
    <sheetView workbookViewId="0">
      <pane ySplit="1" topLeftCell="A89" activePane="bottomLeft" state="frozen"/>
      <selection pane="bottomLeft" activeCell="I97" sqref="I97"/>
    </sheetView>
  </sheetViews>
  <sheetFormatPr baseColWidth="10" defaultColWidth="8.88671875" defaultRowHeight="14.4" x14ac:dyDescent="0.3"/>
  <cols>
    <col min="1" max="11" width="18" style="4" customWidth="1"/>
    <col min="12" max="16384" width="8.88671875" style="4"/>
  </cols>
  <sheetData>
    <row r="1" spans="1:11" ht="28.2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3">
      <c r="A2" s="5">
        <v>66000</v>
      </c>
      <c r="B2" s="5" t="s">
        <v>13</v>
      </c>
      <c r="C2" s="6">
        <v>1.407762</v>
      </c>
      <c r="D2" s="7">
        <v>9.75</v>
      </c>
      <c r="E2" s="6">
        <v>4.3014539999999997E-2</v>
      </c>
      <c r="F2" s="6">
        <v>40.039575094201261</v>
      </c>
      <c r="G2" s="7">
        <v>5.75</v>
      </c>
      <c r="H2" s="6">
        <v>2.934674E-2</v>
      </c>
      <c r="I2" s="6">
        <v>2.844156732332578E-2</v>
      </c>
      <c r="J2" s="7">
        <v>-8.3706888300417781E-2</v>
      </c>
      <c r="K2" s="5" t="s">
        <v>14</v>
      </c>
    </row>
    <row r="3" spans="1:11" x14ac:dyDescent="0.3">
      <c r="A3" s="4">
        <v>66000</v>
      </c>
      <c r="B3" s="4" t="s">
        <v>15</v>
      </c>
      <c r="C3" s="8">
        <v>1.2058660000000001</v>
      </c>
      <c r="D3" s="9">
        <v>11</v>
      </c>
      <c r="E3" s="8">
        <v>6.4228789999999994E-2</v>
      </c>
      <c r="F3" s="8">
        <v>32.947093116638619</v>
      </c>
      <c r="G3" s="9">
        <v>5</v>
      </c>
      <c r="H3" s="8">
        <v>2.9012860000000001E-2</v>
      </c>
      <c r="I3" s="8">
        <v>2.125721333350334E-2</v>
      </c>
      <c r="J3" s="9">
        <v>-0.19164924091735949</v>
      </c>
      <c r="K3" s="4" t="s">
        <v>16</v>
      </c>
    </row>
    <row r="4" spans="1:11" x14ac:dyDescent="0.3">
      <c r="A4" s="4">
        <v>66000</v>
      </c>
      <c r="B4" s="4" t="s">
        <v>17</v>
      </c>
      <c r="C4" s="8">
        <v>1.3225549999999999</v>
      </c>
      <c r="D4" s="9">
        <v>12.5</v>
      </c>
      <c r="E4" s="8">
        <v>7.1083190000000004E-2</v>
      </c>
      <c r="F4" s="8">
        <v>34.54526839728787</v>
      </c>
      <c r="G4" s="9">
        <v>5.25</v>
      </c>
      <c r="H4" s="8">
        <v>2.8520779999999999E-2</v>
      </c>
      <c r="I4" s="8">
        <v>2.0862961809738321E-2</v>
      </c>
      <c r="J4" s="9">
        <v>-0.2219529786910969</v>
      </c>
      <c r="K4" s="4" t="s">
        <v>18</v>
      </c>
    </row>
    <row r="5" spans="1:11" x14ac:dyDescent="0.3">
      <c r="A5" s="4">
        <v>66000</v>
      </c>
      <c r="B5" s="4" t="s">
        <v>19</v>
      </c>
      <c r="C5" s="8">
        <v>1.385008</v>
      </c>
      <c r="D5" s="9">
        <v>11</v>
      </c>
      <c r="E5" s="8">
        <v>5.0667619999999997E-2</v>
      </c>
      <c r="F5" s="8">
        <v>36.304870253921663</v>
      </c>
      <c r="G5" s="9">
        <v>5.5</v>
      </c>
      <c r="H5" s="8">
        <v>2.80047E-2</v>
      </c>
      <c r="I5" s="8">
        <v>2.041598284148681E-2</v>
      </c>
      <c r="J5" s="9">
        <v>-0.25844765781384849</v>
      </c>
      <c r="K5" s="4" t="s">
        <v>20</v>
      </c>
    </row>
    <row r="6" spans="1:11" x14ac:dyDescent="0.3">
      <c r="A6" s="4">
        <v>66000</v>
      </c>
      <c r="B6" s="4" t="s">
        <v>21</v>
      </c>
      <c r="C6" s="8">
        <v>1.407762</v>
      </c>
      <c r="D6" s="9">
        <v>9.75</v>
      </c>
      <c r="E6" s="8">
        <v>4.3014579999999997E-2</v>
      </c>
      <c r="F6" s="8">
        <v>37.944651601924143</v>
      </c>
      <c r="G6" s="9">
        <v>5.75</v>
      </c>
      <c r="H6" s="8">
        <v>2.7665479999999999E-2</v>
      </c>
      <c r="I6" s="8">
        <v>1.995956468165215E-2</v>
      </c>
      <c r="J6" s="9">
        <v>-0.29808396362214279</v>
      </c>
      <c r="K6" s="4" t="s">
        <v>22</v>
      </c>
    </row>
    <row r="7" spans="1:11" x14ac:dyDescent="0.3">
      <c r="A7" s="4">
        <v>66000</v>
      </c>
      <c r="B7" s="4" t="s">
        <v>23</v>
      </c>
      <c r="C7" s="8">
        <v>1.407762</v>
      </c>
      <c r="D7" s="9">
        <v>9.75</v>
      </c>
      <c r="E7" s="8">
        <v>4.3014539999999997E-2</v>
      </c>
      <c r="F7" s="8">
        <v>39.221840674514851</v>
      </c>
      <c r="G7" s="9">
        <v>6</v>
      </c>
      <c r="H7" s="8">
        <v>2.7609769999999999E-2</v>
      </c>
      <c r="I7" s="8">
        <v>1.9560559963998709E-2</v>
      </c>
      <c r="J7" s="9">
        <v>-0.33481511061086322</v>
      </c>
      <c r="K7" s="4" t="s">
        <v>24</v>
      </c>
    </row>
    <row r="8" spans="1:11" x14ac:dyDescent="0.3">
      <c r="A8" s="4">
        <v>66000</v>
      </c>
      <c r="B8" s="4" t="s">
        <v>25</v>
      </c>
      <c r="C8" s="8">
        <v>1.407762</v>
      </c>
      <c r="D8" s="9">
        <v>9.75</v>
      </c>
      <c r="E8" s="8">
        <v>4.3014539999999997E-2</v>
      </c>
      <c r="F8" s="8">
        <v>40.98146009240083</v>
      </c>
      <c r="G8" s="9">
        <v>6.5</v>
      </c>
      <c r="H8" s="8">
        <v>2.812096E-2</v>
      </c>
      <c r="I8" s="8">
        <v>1.909031680655757E-2</v>
      </c>
      <c r="J8" s="9">
        <v>-0.38098996551029551</v>
      </c>
      <c r="K8" s="4" t="s">
        <v>26</v>
      </c>
    </row>
    <row r="9" spans="1:11" x14ac:dyDescent="0.3">
      <c r="A9" s="4">
        <v>66000</v>
      </c>
      <c r="B9" s="4" t="s">
        <v>27</v>
      </c>
      <c r="C9" s="8">
        <v>1.407762</v>
      </c>
      <c r="D9" s="9">
        <v>9.75</v>
      </c>
      <c r="E9" s="8">
        <v>4.3014539999999997E-2</v>
      </c>
      <c r="F9" s="8">
        <v>42.672214221743239</v>
      </c>
      <c r="G9" s="9">
        <v>6</v>
      </c>
      <c r="H9" s="8">
        <v>2.6630350000000001E-2</v>
      </c>
      <c r="I9" s="8">
        <v>1.8519004459446799E-2</v>
      </c>
      <c r="J9" s="9">
        <v>-0.44353620450260778</v>
      </c>
      <c r="K9" s="4" t="s">
        <v>28</v>
      </c>
    </row>
    <row r="10" spans="1:11" x14ac:dyDescent="0.3">
      <c r="A10" s="4">
        <v>66000</v>
      </c>
      <c r="B10" s="4" t="s">
        <v>29</v>
      </c>
      <c r="C10" s="8">
        <v>1.407762</v>
      </c>
      <c r="D10" s="9">
        <v>9.75</v>
      </c>
      <c r="E10" s="8">
        <v>4.3014539999999997E-2</v>
      </c>
      <c r="F10" s="8">
        <v>43.243985288369011</v>
      </c>
      <c r="G10" s="9">
        <v>5.75</v>
      </c>
      <c r="H10" s="8">
        <v>2.6041979999999999E-2</v>
      </c>
      <c r="I10" s="8">
        <v>1.82555201707237E-2</v>
      </c>
      <c r="J10" s="9">
        <v>-0.47571350998691109</v>
      </c>
      <c r="K10" s="4" t="s">
        <v>30</v>
      </c>
    </row>
    <row r="11" spans="1:11" x14ac:dyDescent="0.3">
      <c r="A11" s="4">
        <v>66000</v>
      </c>
      <c r="B11" s="4" t="s">
        <v>31</v>
      </c>
      <c r="C11" s="8">
        <v>1.407762</v>
      </c>
      <c r="D11" s="9">
        <v>9.75</v>
      </c>
      <c r="E11" s="8">
        <v>4.3014539999999997E-2</v>
      </c>
      <c r="F11" s="8">
        <v>43.562058474065488</v>
      </c>
      <c r="G11" s="9">
        <v>5.25</v>
      </c>
      <c r="H11" s="8">
        <v>2.4903689999999999E-2</v>
      </c>
      <c r="I11" s="8">
        <v>1.8024198535671811E-2</v>
      </c>
      <c r="J11" s="9">
        <v>-0.50608350254423062</v>
      </c>
      <c r="K11" s="4" t="s">
        <v>32</v>
      </c>
    </row>
    <row r="12" spans="1:11" x14ac:dyDescent="0.3">
      <c r="A12" s="4">
        <v>66000</v>
      </c>
      <c r="B12" s="4" t="s">
        <v>33</v>
      </c>
      <c r="C12" s="8">
        <v>1.407762</v>
      </c>
      <c r="D12" s="9">
        <v>9.75</v>
      </c>
      <c r="E12" s="8">
        <v>4.3014539999999997E-2</v>
      </c>
      <c r="F12" s="8">
        <v>43.723215682296598</v>
      </c>
      <c r="G12" s="9">
        <v>4.5</v>
      </c>
      <c r="H12" s="8">
        <v>2.346289E-2</v>
      </c>
      <c r="I12" s="8">
        <v>1.7659924964461449E-2</v>
      </c>
      <c r="J12" s="9">
        <v>-0.55879538802946016</v>
      </c>
      <c r="K12" s="4" t="s">
        <v>34</v>
      </c>
    </row>
    <row r="13" spans="1:11" x14ac:dyDescent="0.3">
      <c r="A13" s="4">
        <v>66000</v>
      </c>
      <c r="B13" s="4" t="s">
        <v>35</v>
      </c>
      <c r="C13" s="8">
        <v>1.407762</v>
      </c>
      <c r="D13" s="9">
        <v>9.75</v>
      </c>
      <c r="E13" s="8">
        <v>4.3014539999999997E-2</v>
      </c>
      <c r="F13" s="8">
        <v>43.559842609759833</v>
      </c>
      <c r="G13" s="9">
        <v>4.25</v>
      </c>
      <c r="H13" s="8">
        <v>2.3165350000000001E-2</v>
      </c>
      <c r="I13" s="8">
        <v>1.751121961874293E-2</v>
      </c>
      <c r="J13" s="9">
        <v>-0.58259266831837953</v>
      </c>
      <c r="K13" s="4" t="s">
        <v>36</v>
      </c>
    </row>
    <row r="14" spans="1:11" x14ac:dyDescent="0.3">
      <c r="A14" s="4">
        <v>66000</v>
      </c>
      <c r="B14" s="4" t="s">
        <v>37</v>
      </c>
      <c r="C14" s="8">
        <v>1.407762</v>
      </c>
      <c r="D14" s="9">
        <v>9.75</v>
      </c>
      <c r="E14" s="8">
        <v>4.3014539999999997E-2</v>
      </c>
      <c r="F14" s="8">
        <v>43.276139745946772</v>
      </c>
      <c r="G14" s="9">
        <v>3.75</v>
      </c>
      <c r="H14" s="8">
        <v>2.2197709999999999E-2</v>
      </c>
      <c r="I14" s="8">
        <v>1.7381611892395399E-2</v>
      </c>
      <c r="J14" s="9">
        <v>-0.60528388329642069</v>
      </c>
      <c r="K14" s="4" t="s">
        <v>38</v>
      </c>
    </row>
    <row r="15" spans="1:11" x14ac:dyDescent="0.3">
      <c r="A15" s="4">
        <v>66000</v>
      </c>
      <c r="B15" s="4" t="s">
        <v>39</v>
      </c>
      <c r="C15" s="8">
        <v>1.407762</v>
      </c>
      <c r="D15" s="9">
        <v>9.75</v>
      </c>
      <c r="E15" s="8">
        <v>4.3014539999999997E-2</v>
      </c>
      <c r="F15" s="8">
        <v>42.136725427252657</v>
      </c>
      <c r="G15" s="9">
        <v>3.25</v>
      </c>
      <c r="H15" s="8">
        <v>2.1855920000000001E-2</v>
      </c>
      <c r="I15" s="8">
        <v>1.7189425368594521E-2</v>
      </c>
      <c r="J15" s="9">
        <v>-0.64744078464073729</v>
      </c>
      <c r="K15" s="4" t="s">
        <v>40</v>
      </c>
    </row>
    <row r="16" spans="1:11" x14ac:dyDescent="0.3">
      <c r="A16" s="4">
        <v>66000</v>
      </c>
      <c r="B16" s="4" t="s">
        <v>41</v>
      </c>
      <c r="C16" s="8">
        <v>1.407762</v>
      </c>
      <c r="D16" s="9">
        <v>9.75</v>
      </c>
      <c r="E16" s="8">
        <v>4.3014539999999997E-2</v>
      </c>
      <c r="F16" s="8">
        <v>41.171515335185823</v>
      </c>
      <c r="G16" s="9">
        <v>2.75</v>
      </c>
      <c r="H16" s="8">
        <v>2.108517E-2</v>
      </c>
      <c r="I16" s="8">
        <v>1.713756559931243E-2</v>
      </c>
      <c r="J16" s="9">
        <v>-0.66672297631043409</v>
      </c>
      <c r="K16" s="4" t="s">
        <v>42</v>
      </c>
    </row>
    <row r="17" spans="1:11" x14ac:dyDescent="0.3">
      <c r="A17" s="4">
        <v>66000</v>
      </c>
      <c r="B17" s="4" t="s">
        <v>43</v>
      </c>
      <c r="C17" s="8">
        <v>1.407762</v>
      </c>
      <c r="D17" s="9">
        <v>9.75</v>
      </c>
      <c r="E17" s="8">
        <v>4.3014539999999997E-2</v>
      </c>
      <c r="F17" s="8">
        <v>40.127349840012407</v>
      </c>
      <c r="G17" s="9">
        <v>2.5</v>
      </c>
      <c r="H17" s="8">
        <v>2.1086009999999999E-2</v>
      </c>
      <c r="I17" s="8">
        <v>1.711905776440497E-2</v>
      </c>
      <c r="J17" s="9">
        <v>-0.68649965478282715</v>
      </c>
      <c r="K17" s="4" t="s">
        <v>44</v>
      </c>
    </row>
    <row r="18" spans="1:11" x14ac:dyDescent="0.3">
      <c r="A18" s="4">
        <v>66000</v>
      </c>
      <c r="B18" s="4" t="s">
        <v>45</v>
      </c>
      <c r="C18" s="8">
        <v>1.407762</v>
      </c>
      <c r="D18" s="9">
        <v>9.75</v>
      </c>
      <c r="E18" s="8">
        <v>4.3014539999999997E-2</v>
      </c>
      <c r="F18" s="8">
        <v>40.039575094201261</v>
      </c>
      <c r="G18" s="9">
        <v>5.75</v>
      </c>
      <c r="H18" s="8">
        <v>2.934674E-2</v>
      </c>
      <c r="I18" s="8">
        <v>1.720534949265954E-2</v>
      </c>
      <c r="J18" s="9">
        <v>-0.73274742834315409</v>
      </c>
      <c r="K18" s="4" t="s">
        <v>46</v>
      </c>
    </row>
    <row r="19" spans="1:11" x14ac:dyDescent="0.3">
      <c r="A19" s="4">
        <v>66000</v>
      </c>
      <c r="B19" s="4" t="s">
        <v>47</v>
      </c>
      <c r="C19" s="8">
        <v>1.407762</v>
      </c>
      <c r="D19" s="9">
        <v>9.75</v>
      </c>
      <c r="E19" s="8">
        <v>4.3014539999999997E-2</v>
      </c>
      <c r="F19" s="8">
        <v>40.039575094201261</v>
      </c>
      <c r="G19" s="9">
        <v>5.75</v>
      </c>
      <c r="H19" s="8">
        <v>2.934674E-2</v>
      </c>
      <c r="I19" s="8">
        <v>1.7329521253619969E-2</v>
      </c>
      <c r="J19" s="9">
        <v>-0.7631602132908385</v>
      </c>
      <c r="K19" s="4" t="s">
        <v>48</v>
      </c>
    </row>
    <row r="20" spans="1:11" x14ac:dyDescent="0.3">
      <c r="A20" s="4">
        <v>66000</v>
      </c>
      <c r="B20" s="4" t="s">
        <v>49</v>
      </c>
      <c r="C20" s="8">
        <v>1.407762</v>
      </c>
      <c r="D20" s="9">
        <v>9.75</v>
      </c>
      <c r="E20" s="8">
        <v>4.3014539999999997E-2</v>
      </c>
      <c r="F20" s="8">
        <v>40.039575094201261</v>
      </c>
      <c r="G20" s="9">
        <v>5.75</v>
      </c>
      <c r="H20" s="8">
        <v>2.934674E-2</v>
      </c>
      <c r="I20" s="8">
        <v>1.7563369866850288E-2</v>
      </c>
      <c r="J20" s="9">
        <v>-0.79101201390843856</v>
      </c>
      <c r="K20" s="4" t="s">
        <v>50</v>
      </c>
    </row>
    <row r="21" spans="1:11" x14ac:dyDescent="0.3">
      <c r="A21" s="5">
        <v>73000</v>
      </c>
      <c r="B21" s="5" t="s">
        <v>13</v>
      </c>
      <c r="C21" s="6">
        <v>1.396031</v>
      </c>
      <c r="D21" s="7">
        <v>9.75</v>
      </c>
      <c r="E21" s="6">
        <v>4.0619919999999997E-2</v>
      </c>
      <c r="F21" s="6">
        <v>43.234171899314553</v>
      </c>
      <c r="G21" s="7">
        <v>6</v>
      </c>
      <c r="H21" s="6">
        <v>2.781256E-2</v>
      </c>
      <c r="I21" s="6">
        <v>2.5857999543688899E-2</v>
      </c>
      <c r="J21" s="7">
        <v>-0.3044969631385695</v>
      </c>
      <c r="K21" s="5" t="s">
        <v>51</v>
      </c>
    </row>
    <row r="22" spans="1:11" x14ac:dyDescent="0.3">
      <c r="A22" s="4">
        <v>73000</v>
      </c>
      <c r="B22" s="4" t="s">
        <v>15</v>
      </c>
      <c r="C22" s="8">
        <v>1.2325539999999999</v>
      </c>
      <c r="D22" s="9">
        <v>11</v>
      </c>
      <c r="E22" s="8">
        <v>6.045188E-2</v>
      </c>
      <c r="F22" s="8">
        <v>34.919185834278913</v>
      </c>
      <c r="G22" s="9">
        <v>5</v>
      </c>
      <c r="H22" s="8">
        <v>2.7805150000000001E-2</v>
      </c>
      <c r="I22" s="8">
        <v>2.0358693959146228E-2</v>
      </c>
      <c r="J22" s="9">
        <v>-0.28177750252588207</v>
      </c>
      <c r="K22" s="4" t="s">
        <v>52</v>
      </c>
    </row>
    <row r="23" spans="1:11" x14ac:dyDescent="0.3">
      <c r="A23" s="4">
        <v>73000</v>
      </c>
      <c r="B23" s="4" t="s">
        <v>17</v>
      </c>
      <c r="C23" s="8">
        <v>1.3220940000000001</v>
      </c>
      <c r="D23" s="9">
        <v>12.25</v>
      </c>
      <c r="E23" s="8">
        <v>6.5909170000000003E-2</v>
      </c>
      <c r="F23" s="8">
        <v>36.694126350225353</v>
      </c>
      <c r="G23" s="9">
        <v>5.25</v>
      </c>
      <c r="H23" s="8">
        <v>2.7278779999999999E-2</v>
      </c>
      <c r="I23" s="8">
        <v>1.9975363988407789E-2</v>
      </c>
      <c r="J23" s="9">
        <v>-0.31187194886678232</v>
      </c>
      <c r="K23" s="4" t="s">
        <v>53</v>
      </c>
    </row>
    <row r="24" spans="1:11" x14ac:dyDescent="0.3">
      <c r="A24" s="4">
        <v>73000</v>
      </c>
      <c r="B24" s="4" t="s">
        <v>19</v>
      </c>
      <c r="C24" s="8">
        <v>1.378072</v>
      </c>
      <c r="D24" s="9">
        <v>11</v>
      </c>
      <c r="E24" s="8">
        <v>4.8894189999999997E-2</v>
      </c>
      <c r="F24" s="8">
        <v>38.619947168140527</v>
      </c>
      <c r="G24" s="9">
        <v>5.5</v>
      </c>
      <c r="H24" s="8">
        <v>2.6741439999999998E-2</v>
      </c>
      <c r="I24" s="8">
        <v>1.9541416365415201E-2</v>
      </c>
      <c r="J24" s="9">
        <v>-0.34743003688623508</v>
      </c>
      <c r="K24" s="4" t="s">
        <v>54</v>
      </c>
    </row>
    <row r="25" spans="1:11" x14ac:dyDescent="0.3">
      <c r="A25" s="4">
        <v>73000</v>
      </c>
      <c r="B25" s="4" t="s">
        <v>21</v>
      </c>
      <c r="C25" s="8">
        <v>1.396031</v>
      </c>
      <c r="D25" s="9">
        <v>9.75</v>
      </c>
      <c r="E25" s="8">
        <v>4.0619919999999997E-2</v>
      </c>
      <c r="F25" s="8">
        <v>40.392532461733552</v>
      </c>
      <c r="G25" s="9">
        <v>6</v>
      </c>
      <c r="H25" s="8">
        <v>2.6874720000000001E-2</v>
      </c>
      <c r="I25" s="8">
        <v>1.9100651628119431E-2</v>
      </c>
      <c r="J25" s="9">
        <v>-0.38477580597823202</v>
      </c>
      <c r="K25" s="4" t="s">
        <v>55</v>
      </c>
    </row>
    <row r="26" spans="1:11" x14ac:dyDescent="0.3">
      <c r="A26" s="4">
        <v>73000</v>
      </c>
      <c r="B26" s="4" t="s">
        <v>23</v>
      </c>
      <c r="C26" s="8">
        <v>1.396031</v>
      </c>
      <c r="D26" s="9">
        <v>9.75</v>
      </c>
      <c r="E26" s="8">
        <v>4.0619919999999997E-2</v>
      </c>
      <c r="F26" s="8">
        <v>41.743870022480621</v>
      </c>
      <c r="G26" s="9">
        <v>6.25</v>
      </c>
      <c r="H26" s="8">
        <v>2.6823099999999999E-2</v>
      </c>
      <c r="I26" s="8">
        <v>1.871126797947769E-2</v>
      </c>
      <c r="J26" s="9">
        <v>-0.41949311124820071</v>
      </c>
      <c r="K26" s="4" t="s">
        <v>56</v>
      </c>
    </row>
    <row r="27" spans="1:11" x14ac:dyDescent="0.3">
      <c r="A27" s="4">
        <v>73000</v>
      </c>
      <c r="B27" s="4" t="s">
        <v>25</v>
      </c>
      <c r="C27" s="8">
        <v>1.396031</v>
      </c>
      <c r="D27" s="9">
        <v>9.75</v>
      </c>
      <c r="E27" s="8">
        <v>4.0619919999999997E-2</v>
      </c>
      <c r="F27" s="8">
        <v>43.458622088106189</v>
      </c>
      <c r="G27" s="9">
        <v>6.5</v>
      </c>
      <c r="H27" s="8">
        <v>2.685237E-2</v>
      </c>
      <c r="I27" s="8">
        <v>1.8252917797559699E-2</v>
      </c>
      <c r="J27" s="9">
        <v>-0.46313500106242123</v>
      </c>
      <c r="K27" s="4" t="s">
        <v>57</v>
      </c>
    </row>
    <row r="28" spans="1:11" x14ac:dyDescent="0.3">
      <c r="A28" s="4">
        <v>73000</v>
      </c>
      <c r="B28" s="4" t="s">
        <v>27</v>
      </c>
      <c r="C28" s="8">
        <v>1.396031</v>
      </c>
      <c r="D28" s="9">
        <v>9.75</v>
      </c>
      <c r="E28" s="8">
        <v>4.0619919999999997E-2</v>
      </c>
      <c r="F28" s="8">
        <v>45.103904504569563</v>
      </c>
      <c r="G28" s="9">
        <v>6</v>
      </c>
      <c r="H28" s="8">
        <v>2.5477240000000002E-2</v>
      </c>
      <c r="I28" s="8">
        <v>1.7698904147772931E-2</v>
      </c>
      <c r="J28" s="9">
        <v>-0.52226862788073647</v>
      </c>
      <c r="K28" s="4" t="s">
        <v>58</v>
      </c>
    </row>
    <row r="29" spans="1:11" x14ac:dyDescent="0.3">
      <c r="A29" s="4">
        <v>73000</v>
      </c>
      <c r="B29" s="4" t="s">
        <v>29</v>
      </c>
      <c r="C29" s="8">
        <v>1.396031</v>
      </c>
      <c r="D29" s="9">
        <v>9.75</v>
      </c>
      <c r="E29" s="8">
        <v>4.0619919999999997E-2</v>
      </c>
      <c r="F29" s="8">
        <v>45.672292183349647</v>
      </c>
      <c r="G29" s="9">
        <v>5.5</v>
      </c>
      <c r="H29" s="8">
        <v>2.4297619999999999E-2</v>
      </c>
      <c r="I29" s="8">
        <v>1.7442507515423311E-2</v>
      </c>
      <c r="J29" s="9">
        <v>-0.55306951093873091</v>
      </c>
      <c r="K29" s="4" t="s">
        <v>59</v>
      </c>
    </row>
    <row r="30" spans="1:11" x14ac:dyDescent="0.3">
      <c r="A30" s="4">
        <v>73000</v>
      </c>
      <c r="B30" s="4" t="s">
        <v>31</v>
      </c>
      <c r="C30" s="8">
        <v>1.396031</v>
      </c>
      <c r="D30" s="9">
        <v>9.75</v>
      </c>
      <c r="E30" s="8">
        <v>4.0619919999999997E-2</v>
      </c>
      <c r="F30" s="8">
        <v>46.010601577185</v>
      </c>
      <c r="G30" s="9">
        <v>5.25</v>
      </c>
      <c r="H30" s="8">
        <v>2.3828530000000001E-2</v>
      </c>
      <c r="I30" s="8">
        <v>1.7215516558305711E-2</v>
      </c>
      <c r="J30" s="9">
        <v>-0.58247368759857077</v>
      </c>
      <c r="K30" s="4" t="s">
        <v>60</v>
      </c>
    </row>
    <row r="31" spans="1:11" x14ac:dyDescent="0.3">
      <c r="A31" s="4">
        <v>73000</v>
      </c>
      <c r="B31" s="4" t="s">
        <v>33</v>
      </c>
      <c r="C31" s="8">
        <v>1.396031</v>
      </c>
      <c r="D31" s="9">
        <v>9.75</v>
      </c>
      <c r="E31" s="8">
        <v>4.0619919999999997E-2</v>
      </c>
      <c r="F31" s="8">
        <v>46.192795458393867</v>
      </c>
      <c r="G31" s="9">
        <v>4.5</v>
      </c>
      <c r="H31" s="8">
        <v>2.24414E-2</v>
      </c>
      <c r="I31" s="8">
        <v>1.684928048790529E-2</v>
      </c>
      <c r="J31" s="9">
        <v>-0.63467556916288326</v>
      </c>
      <c r="K31" s="4" t="s">
        <v>61</v>
      </c>
    </row>
    <row r="32" spans="1:11" x14ac:dyDescent="0.3">
      <c r="A32" s="4">
        <v>73000</v>
      </c>
      <c r="B32" s="4" t="s">
        <v>35</v>
      </c>
      <c r="C32" s="8">
        <v>1.396031</v>
      </c>
      <c r="D32" s="9">
        <v>9.75</v>
      </c>
      <c r="E32" s="8">
        <v>4.0619919999999997E-2</v>
      </c>
      <c r="F32" s="8">
        <v>46.050969376950448</v>
      </c>
      <c r="G32" s="9">
        <v>4</v>
      </c>
      <c r="H32" s="8">
        <v>2.148545E-2</v>
      </c>
      <c r="I32" s="8">
        <v>1.669628219419356E-2</v>
      </c>
      <c r="J32" s="9">
        <v>-0.65879714142227386</v>
      </c>
      <c r="K32" s="4" t="s">
        <v>62</v>
      </c>
    </row>
    <row r="33" spans="1:11" x14ac:dyDescent="0.3">
      <c r="A33" s="4">
        <v>73000</v>
      </c>
      <c r="B33" s="4" t="s">
        <v>37</v>
      </c>
      <c r="C33" s="8">
        <v>1.396031</v>
      </c>
      <c r="D33" s="9">
        <v>9.75</v>
      </c>
      <c r="E33" s="8">
        <v>4.0619919999999997E-2</v>
      </c>
      <c r="F33" s="8">
        <v>45.799910562325238</v>
      </c>
      <c r="G33" s="9">
        <v>3.75</v>
      </c>
      <c r="H33" s="8">
        <v>2.1199119999999998E-2</v>
      </c>
      <c r="I33" s="8">
        <v>1.6560085759183531E-2</v>
      </c>
      <c r="J33" s="9">
        <v>-0.6821593361391628</v>
      </c>
      <c r="K33" s="4" t="s">
        <v>63</v>
      </c>
    </row>
    <row r="34" spans="1:11" x14ac:dyDescent="0.3">
      <c r="A34" s="4">
        <v>73000</v>
      </c>
      <c r="B34" s="4" t="s">
        <v>39</v>
      </c>
      <c r="C34" s="8">
        <v>1.396031</v>
      </c>
      <c r="D34" s="9">
        <v>9.75</v>
      </c>
      <c r="E34" s="8">
        <v>4.0619919999999997E-2</v>
      </c>
      <c r="F34" s="8">
        <v>44.698868247656378</v>
      </c>
      <c r="G34" s="9">
        <v>3</v>
      </c>
      <c r="H34" s="8">
        <v>2.0133379999999999E-2</v>
      </c>
      <c r="I34" s="8">
        <v>1.634735089472002E-2</v>
      </c>
      <c r="J34" s="9">
        <v>-0.72653668991486198</v>
      </c>
      <c r="K34" s="4" t="s">
        <v>64</v>
      </c>
    </row>
    <row r="35" spans="1:11" x14ac:dyDescent="0.3">
      <c r="A35" s="4">
        <v>73000</v>
      </c>
      <c r="B35" s="4" t="s">
        <v>41</v>
      </c>
      <c r="C35" s="8">
        <v>1.396031</v>
      </c>
      <c r="D35" s="9">
        <v>9.75</v>
      </c>
      <c r="E35" s="8">
        <v>4.0619919999999997E-2</v>
      </c>
      <c r="F35" s="8">
        <v>43.78097634384153</v>
      </c>
      <c r="G35" s="9">
        <v>2.75</v>
      </c>
      <c r="H35" s="8">
        <v>2.0054820000000001E-2</v>
      </c>
      <c r="I35" s="8">
        <v>1.6280797539088891E-2</v>
      </c>
      <c r="J35" s="9">
        <v>-0.74722842057293704</v>
      </c>
      <c r="K35" s="4" t="s">
        <v>65</v>
      </c>
    </row>
    <row r="36" spans="1:11" x14ac:dyDescent="0.3">
      <c r="A36" s="4">
        <v>73000</v>
      </c>
      <c r="B36" s="4" t="s">
        <v>43</v>
      </c>
      <c r="C36" s="8">
        <v>1.396031</v>
      </c>
      <c r="D36" s="9">
        <v>9.75</v>
      </c>
      <c r="E36" s="8">
        <v>4.0619919999999997E-2</v>
      </c>
      <c r="F36" s="8">
        <v>43.234171899314553</v>
      </c>
      <c r="G36" s="9">
        <v>6</v>
      </c>
      <c r="H36" s="8">
        <v>2.781256E-2</v>
      </c>
      <c r="I36" s="8">
        <v>1.6246424778260271E-2</v>
      </c>
      <c r="J36" s="9">
        <v>-0.76826872064920537</v>
      </c>
      <c r="K36" s="4" t="s">
        <v>66</v>
      </c>
    </row>
    <row r="37" spans="1:11" x14ac:dyDescent="0.3">
      <c r="A37" s="4">
        <v>73000</v>
      </c>
      <c r="B37" s="4" t="s">
        <v>45</v>
      </c>
      <c r="C37" s="8">
        <v>1.396031</v>
      </c>
      <c r="D37" s="9">
        <v>9.75</v>
      </c>
      <c r="E37" s="8">
        <v>4.0619919999999997E-2</v>
      </c>
      <c r="F37" s="8">
        <v>43.234171899314553</v>
      </c>
      <c r="G37" s="9">
        <v>6</v>
      </c>
      <c r="H37" s="8">
        <v>2.781256E-2</v>
      </c>
      <c r="I37" s="8">
        <v>1.629094199586326E-2</v>
      </c>
      <c r="J37" s="9">
        <v>-0.81644838138310805</v>
      </c>
      <c r="K37" s="4" t="s">
        <v>67</v>
      </c>
    </row>
    <row r="38" spans="1:11" x14ac:dyDescent="0.3">
      <c r="A38" s="4">
        <v>73000</v>
      </c>
      <c r="B38" s="4" t="s">
        <v>47</v>
      </c>
      <c r="C38" s="8">
        <v>1.396031</v>
      </c>
      <c r="D38" s="9">
        <v>9.75</v>
      </c>
      <c r="E38" s="8">
        <v>4.0619919999999997E-2</v>
      </c>
      <c r="F38" s="8">
        <v>43.234171899314553</v>
      </c>
      <c r="G38" s="9">
        <v>6</v>
      </c>
      <c r="H38" s="8">
        <v>2.781256E-2</v>
      </c>
      <c r="I38" s="8">
        <v>1.638572281684127E-2</v>
      </c>
      <c r="J38" s="9">
        <v>-0.84752657181633828</v>
      </c>
      <c r="K38" s="4" t="s">
        <v>68</v>
      </c>
    </row>
    <row r="39" spans="1:11" x14ac:dyDescent="0.3">
      <c r="A39" s="4">
        <v>73000</v>
      </c>
      <c r="B39" s="4" t="s">
        <v>49</v>
      </c>
      <c r="C39" s="8">
        <v>1.396031</v>
      </c>
      <c r="D39" s="9">
        <v>9.75</v>
      </c>
      <c r="E39" s="8">
        <v>4.0619919999999997E-2</v>
      </c>
      <c r="F39" s="8">
        <v>43.234171899314553</v>
      </c>
      <c r="G39" s="9">
        <v>6</v>
      </c>
      <c r="H39" s="8">
        <v>2.781256E-2</v>
      </c>
      <c r="I39" s="8">
        <v>1.657651590036863E-2</v>
      </c>
      <c r="J39" s="9">
        <v>-0.87718836307979053</v>
      </c>
      <c r="K39" s="4" t="s">
        <v>69</v>
      </c>
    </row>
    <row r="40" spans="1:11" x14ac:dyDescent="0.3">
      <c r="A40" s="5">
        <v>79000</v>
      </c>
      <c r="B40" s="5" t="s">
        <v>13</v>
      </c>
      <c r="C40" s="6">
        <v>1.3867119999999999</v>
      </c>
      <c r="D40" s="7">
        <v>9.75</v>
      </c>
      <c r="E40" s="6">
        <v>3.8846499999999999E-2</v>
      </c>
      <c r="F40" s="6">
        <v>45.913696478570458</v>
      </c>
      <c r="G40" s="7">
        <v>5.5</v>
      </c>
      <c r="H40" s="6">
        <v>2.528263E-2</v>
      </c>
      <c r="I40" s="6">
        <v>2.3353297325055752E-2</v>
      </c>
      <c r="J40" s="7">
        <v>-0.57480820065956595</v>
      </c>
      <c r="K40" s="5" t="s">
        <v>70</v>
      </c>
    </row>
    <row r="41" spans="1:11" x14ac:dyDescent="0.3">
      <c r="A41" s="4">
        <v>79000</v>
      </c>
      <c r="B41" s="4" t="s">
        <v>15</v>
      </c>
      <c r="C41" s="8">
        <v>1.25745</v>
      </c>
      <c r="D41" s="9">
        <v>11</v>
      </c>
      <c r="E41" s="8">
        <v>5.70687E-2</v>
      </c>
      <c r="F41" s="8">
        <v>36.674034460180962</v>
      </c>
      <c r="G41" s="9">
        <v>5.25</v>
      </c>
      <c r="H41" s="8">
        <v>2.7308039999999999E-2</v>
      </c>
      <c r="I41" s="8">
        <v>1.959467694800816E-2</v>
      </c>
      <c r="J41" s="9">
        <v>-0.35317657669807989</v>
      </c>
      <c r="K41" s="4" t="s">
        <v>71</v>
      </c>
    </row>
    <row r="42" spans="1:11" x14ac:dyDescent="0.3">
      <c r="A42" s="4">
        <v>79000</v>
      </c>
      <c r="B42" s="4" t="s">
        <v>17</v>
      </c>
      <c r="C42" s="8">
        <v>1.3253200000000001</v>
      </c>
      <c r="D42" s="9">
        <v>12</v>
      </c>
      <c r="E42" s="8">
        <v>6.1199370000000003E-2</v>
      </c>
      <c r="F42" s="8">
        <v>38.630919176806557</v>
      </c>
      <c r="G42" s="9">
        <v>5.5</v>
      </c>
      <c r="H42" s="8">
        <v>2.672859E-2</v>
      </c>
      <c r="I42" s="8">
        <v>1.921686627908532E-2</v>
      </c>
      <c r="J42" s="9">
        <v>-0.38388654320471549</v>
      </c>
      <c r="K42" s="4" t="s">
        <v>72</v>
      </c>
    </row>
    <row r="43" spans="1:11" x14ac:dyDescent="0.3">
      <c r="A43" s="4">
        <v>79000</v>
      </c>
      <c r="B43" s="4" t="s">
        <v>19</v>
      </c>
      <c r="C43" s="8">
        <v>1.3765480000000001</v>
      </c>
      <c r="D43" s="9">
        <v>10.75</v>
      </c>
      <c r="E43" s="8">
        <v>4.550129E-2</v>
      </c>
      <c r="F43" s="8">
        <v>40.737478650162501</v>
      </c>
      <c r="G43" s="9">
        <v>5.75</v>
      </c>
      <c r="H43" s="8">
        <v>2.6147739999999999E-2</v>
      </c>
      <c r="I43" s="8">
        <v>1.8789875735931091E-2</v>
      </c>
      <c r="J43" s="9">
        <v>-0.42008293642232419</v>
      </c>
      <c r="K43" s="4" t="s">
        <v>73</v>
      </c>
    </row>
    <row r="44" spans="1:11" x14ac:dyDescent="0.3">
      <c r="A44" s="4">
        <v>79000</v>
      </c>
      <c r="B44" s="4" t="s">
        <v>21</v>
      </c>
      <c r="C44" s="8">
        <v>1.3867119999999999</v>
      </c>
      <c r="D44" s="9">
        <v>9.75</v>
      </c>
      <c r="E44" s="8">
        <v>3.8846499999999999E-2</v>
      </c>
      <c r="F44" s="8">
        <v>42.634141950862208</v>
      </c>
      <c r="G44" s="9">
        <v>6</v>
      </c>
      <c r="H44" s="8">
        <v>2.5775679999999999E-2</v>
      </c>
      <c r="I44" s="8">
        <v>1.8356084990457822E-2</v>
      </c>
      <c r="J44" s="9">
        <v>-0.45825141071774528</v>
      </c>
      <c r="K44" s="4" t="s">
        <v>74</v>
      </c>
    </row>
    <row r="45" spans="1:11" x14ac:dyDescent="0.3">
      <c r="A45" s="4">
        <v>79000</v>
      </c>
      <c r="B45" s="4" t="s">
        <v>23</v>
      </c>
      <c r="C45" s="8">
        <v>1.3867119999999999</v>
      </c>
      <c r="D45" s="9">
        <v>9.75</v>
      </c>
      <c r="E45" s="8">
        <v>3.8846499999999999E-2</v>
      </c>
      <c r="F45" s="8">
        <v>44.036462859936002</v>
      </c>
      <c r="G45" s="9">
        <v>6.25</v>
      </c>
      <c r="H45" s="8">
        <v>2.5716030000000001E-2</v>
      </c>
      <c r="I45" s="8">
        <v>1.797123065961493E-2</v>
      </c>
      <c r="J45" s="9">
        <v>-0.49342126832946748</v>
      </c>
      <c r="K45" s="4" t="s">
        <v>75</v>
      </c>
    </row>
    <row r="46" spans="1:11" x14ac:dyDescent="0.3">
      <c r="A46" s="4">
        <v>79000</v>
      </c>
      <c r="B46" s="4" t="s">
        <v>25</v>
      </c>
      <c r="C46" s="8">
        <v>1.3867119999999999</v>
      </c>
      <c r="D46" s="9">
        <v>9.75</v>
      </c>
      <c r="E46" s="8">
        <v>3.8846499999999999E-2</v>
      </c>
      <c r="F46" s="8">
        <v>45.694652189771048</v>
      </c>
      <c r="G46" s="9">
        <v>6.25</v>
      </c>
      <c r="H46" s="8">
        <v>2.5251269999999999E-2</v>
      </c>
      <c r="I46" s="8">
        <v>1.7521944861633939E-2</v>
      </c>
      <c r="J46" s="9">
        <v>-0.53672273710856144</v>
      </c>
      <c r="K46" s="4" t="s">
        <v>76</v>
      </c>
    </row>
    <row r="47" spans="1:11" x14ac:dyDescent="0.3">
      <c r="A47" s="4">
        <v>79000</v>
      </c>
      <c r="B47" s="4" t="s">
        <v>27</v>
      </c>
      <c r="C47" s="8">
        <v>1.3867119999999999</v>
      </c>
      <c r="D47" s="9">
        <v>9.75</v>
      </c>
      <c r="E47" s="8">
        <v>3.8846499999999999E-2</v>
      </c>
      <c r="F47" s="8">
        <v>47.311929991919513</v>
      </c>
      <c r="G47" s="9">
        <v>5.75</v>
      </c>
      <c r="H47" s="8">
        <v>2.3921810000000002E-2</v>
      </c>
      <c r="I47" s="8">
        <v>1.698329195644268E-2</v>
      </c>
      <c r="J47" s="9">
        <v>-0.59369570487696477</v>
      </c>
      <c r="K47" s="4" t="s">
        <v>77</v>
      </c>
    </row>
    <row r="48" spans="1:11" x14ac:dyDescent="0.3">
      <c r="A48" s="4">
        <v>79000</v>
      </c>
      <c r="B48" s="4" t="s">
        <v>29</v>
      </c>
      <c r="C48" s="8">
        <v>1.3867119999999999</v>
      </c>
      <c r="D48" s="9">
        <v>9.75</v>
      </c>
      <c r="E48" s="8">
        <v>3.8846499999999999E-2</v>
      </c>
      <c r="F48" s="8">
        <v>47.883383745256509</v>
      </c>
      <c r="G48" s="9">
        <v>5.5</v>
      </c>
      <c r="H48" s="8">
        <v>2.3374099999999998E-2</v>
      </c>
      <c r="I48" s="8">
        <v>1.673317041246028E-2</v>
      </c>
      <c r="J48" s="9">
        <v>-0.62303121103647963</v>
      </c>
      <c r="K48" s="4" t="s">
        <v>78</v>
      </c>
    </row>
    <row r="49" spans="1:11" x14ac:dyDescent="0.3">
      <c r="A49" s="4">
        <v>79000</v>
      </c>
      <c r="B49" s="4" t="s">
        <v>31</v>
      </c>
      <c r="C49" s="8">
        <v>1.3867119999999999</v>
      </c>
      <c r="D49" s="9">
        <v>9.75</v>
      </c>
      <c r="E49" s="8">
        <v>3.8846499999999999E-2</v>
      </c>
      <c r="F49" s="8">
        <v>48.238896299169497</v>
      </c>
      <c r="G49" s="9">
        <v>5</v>
      </c>
      <c r="H49" s="8">
        <v>2.232634E-2</v>
      </c>
      <c r="I49" s="8">
        <v>1.651009679835154E-2</v>
      </c>
      <c r="J49" s="9">
        <v>-0.65132545947526277</v>
      </c>
      <c r="K49" s="4" t="s">
        <v>79</v>
      </c>
    </row>
    <row r="50" spans="1:11" x14ac:dyDescent="0.3">
      <c r="A50" s="4">
        <v>79000</v>
      </c>
      <c r="B50" s="4" t="s">
        <v>33</v>
      </c>
      <c r="C50" s="8">
        <v>1.3867119999999999</v>
      </c>
      <c r="D50" s="9">
        <v>9.75</v>
      </c>
      <c r="E50" s="8">
        <v>3.8846499999999999E-2</v>
      </c>
      <c r="F50" s="8">
        <v>48.443931059282953</v>
      </c>
      <c r="G50" s="9">
        <v>4.25</v>
      </c>
      <c r="H50" s="8">
        <v>2.096758E-2</v>
      </c>
      <c r="I50" s="8">
        <v>1.6144844616633122E-2</v>
      </c>
      <c r="J50" s="9">
        <v>-0.70248987580456534</v>
      </c>
      <c r="K50" s="4" t="s">
        <v>80</v>
      </c>
    </row>
    <row r="51" spans="1:11" x14ac:dyDescent="0.3">
      <c r="A51" s="4">
        <v>79000</v>
      </c>
      <c r="B51" s="4" t="s">
        <v>35</v>
      </c>
      <c r="C51" s="8">
        <v>1.3867119999999999</v>
      </c>
      <c r="D51" s="9">
        <v>9.75</v>
      </c>
      <c r="E51" s="8">
        <v>3.8846499999999999E-2</v>
      </c>
      <c r="F51" s="8">
        <v>48.330414254147819</v>
      </c>
      <c r="G51" s="9">
        <v>4</v>
      </c>
      <c r="H51" s="8">
        <v>2.0645779999999999E-2</v>
      </c>
      <c r="I51" s="8">
        <v>1.598936962779186E-2</v>
      </c>
      <c r="J51" s="9">
        <v>-0.72657833466208166</v>
      </c>
      <c r="K51" s="4" t="s">
        <v>81</v>
      </c>
    </row>
    <row r="52" spans="1:11" x14ac:dyDescent="0.3">
      <c r="A52" s="4">
        <v>79000</v>
      </c>
      <c r="B52" s="4" t="s">
        <v>37</v>
      </c>
      <c r="C52" s="8">
        <v>1.3867119999999999</v>
      </c>
      <c r="D52" s="9">
        <v>9.75</v>
      </c>
      <c r="E52" s="8">
        <v>3.8846499999999999E-2</v>
      </c>
      <c r="F52" s="8">
        <v>48.062464598551252</v>
      </c>
      <c r="G52" s="9">
        <v>3.75</v>
      </c>
      <c r="H52" s="8">
        <v>2.0373459999999999E-2</v>
      </c>
      <c r="I52" s="8">
        <v>1.5848926819567611E-2</v>
      </c>
      <c r="J52" s="9">
        <v>-0.75017191418997609</v>
      </c>
      <c r="K52" s="4" t="s">
        <v>82</v>
      </c>
    </row>
    <row r="53" spans="1:11" x14ac:dyDescent="0.3">
      <c r="A53" s="4">
        <v>79000</v>
      </c>
      <c r="B53" s="4" t="s">
        <v>39</v>
      </c>
      <c r="C53" s="8">
        <v>1.3867119999999999</v>
      </c>
      <c r="D53" s="9">
        <v>9.75</v>
      </c>
      <c r="E53" s="8">
        <v>3.8846499999999999E-2</v>
      </c>
      <c r="F53" s="8">
        <v>47.071878225535947</v>
      </c>
      <c r="G53" s="9">
        <v>3</v>
      </c>
      <c r="H53" s="8">
        <v>1.928943E-2</v>
      </c>
      <c r="I53" s="8">
        <v>1.5623215646917051E-2</v>
      </c>
      <c r="J53" s="9">
        <v>-0.79603196554517253</v>
      </c>
      <c r="K53" s="4" t="s">
        <v>83</v>
      </c>
    </row>
    <row r="54" spans="1:11" x14ac:dyDescent="0.3">
      <c r="A54" s="4">
        <v>79000</v>
      </c>
      <c r="B54" s="4" t="s">
        <v>41</v>
      </c>
      <c r="C54" s="8">
        <v>1.3867119999999999</v>
      </c>
      <c r="D54" s="9">
        <v>9.75</v>
      </c>
      <c r="E54" s="8">
        <v>3.8846499999999999E-2</v>
      </c>
      <c r="F54" s="8">
        <v>46.148790504240857</v>
      </c>
      <c r="G54" s="9">
        <v>2.75</v>
      </c>
      <c r="H54" s="8">
        <v>1.9200149999999999E-2</v>
      </c>
      <c r="I54" s="8">
        <v>1.5546640682406739E-2</v>
      </c>
      <c r="J54" s="9">
        <v>-0.81776544162212816</v>
      </c>
      <c r="K54" s="4" t="s">
        <v>84</v>
      </c>
    </row>
    <row r="55" spans="1:11" x14ac:dyDescent="0.3">
      <c r="A55" s="4">
        <v>79000</v>
      </c>
      <c r="B55" s="4" t="s">
        <v>43</v>
      </c>
      <c r="C55" s="8">
        <v>1.3867119999999999</v>
      </c>
      <c r="D55" s="9">
        <v>9.75</v>
      </c>
      <c r="E55" s="8">
        <v>3.8846499999999999E-2</v>
      </c>
      <c r="F55" s="8">
        <v>45.913696478570458</v>
      </c>
      <c r="G55" s="9">
        <v>5.5</v>
      </c>
      <c r="H55" s="8">
        <v>2.528263E-2</v>
      </c>
      <c r="I55" s="8">
        <v>1.5499804571799799E-2</v>
      </c>
      <c r="J55" s="9">
        <v>-0.83959663122302097</v>
      </c>
      <c r="K55" s="4" t="s">
        <v>85</v>
      </c>
    </row>
    <row r="56" spans="1:11" x14ac:dyDescent="0.3">
      <c r="A56" s="4">
        <v>79000</v>
      </c>
      <c r="B56" s="4" t="s">
        <v>45</v>
      </c>
      <c r="C56" s="8">
        <v>1.3867119999999999</v>
      </c>
      <c r="D56" s="9">
        <v>9.75</v>
      </c>
      <c r="E56" s="8">
        <v>3.8846499999999999E-2</v>
      </c>
      <c r="F56" s="8">
        <v>45.913696478570458</v>
      </c>
      <c r="G56" s="9">
        <v>5.5</v>
      </c>
      <c r="H56" s="8">
        <v>2.528263E-2</v>
      </c>
      <c r="I56" s="8">
        <v>1.5510158571939469E-2</v>
      </c>
      <c r="J56" s="9">
        <v>-0.88872502836047607</v>
      </c>
      <c r="K56" s="4" t="s">
        <v>86</v>
      </c>
    </row>
    <row r="57" spans="1:11" x14ac:dyDescent="0.3">
      <c r="A57" s="4">
        <v>79000</v>
      </c>
      <c r="B57" s="4" t="s">
        <v>47</v>
      </c>
      <c r="C57" s="8">
        <v>1.3867119999999999</v>
      </c>
      <c r="D57" s="9">
        <v>9.75</v>
      </c>
      <c r="E57" s="8">
        <v>3.8846499999999999E-2</v>
      </c>
      <c r="F57" s="8">
        <v>45.913696478570458</v>
      </c>
      <c r="G57" s="9">
        <v>5.5</v>
      </c>
      <c r="H57" s="8">
        <v>2.528263E-2</v>
      </c>
      <c r="I57" s="8">
        <v>1.5581178812367589E-2</v>
      </c>
      <c r="J57" s="9">
        <v>-0.9200591879968717</v>
      </c>
      <c r="K57" s="4" t="s">
        <v>87</v>
      </c>
    </row>
    <row r="58" spans="1:11" x14ac:dyDescent="0.3">
      <c r="A58" s="4">
        <v>79000</v>
      </c>
      <c r="B58" s="4" t="s">
        <v>49</v>
      </c>
      <c r="C58" s="8">
        <v>1.3867119999999999</v>
      </c>
      <c r="D58" s="9">
        <v>9.75</v>
      </c>
      <c r="E58" s="8">
        <v>3.8846499999999999E-2</v>
      </c>
      <c r="F58" s="8">
        <v>45.913696478570458</v>
      </c>
      <c r="G58" s="9">
        <v>5.5</v>
      </c>
      <c r="H58" s="8">
        <v>2.528263E-2</v>
      </c>
      <c r="I58" s="8">
        <v>1.5736924943427561E-2</v>
      </c>
      <c r="J58" s="9">
        <v>-0.95150583084877505</v>
      </c>
      <c r="K58" s="4" t="s">
        <v>88</v>
      </c>
    </row>
    <row r="59" spans="1:11" x14ac:dyDescent="0.3">
      <c r="A59" s="5">
        <v>92000</v>
      </c>
      <c r="B59" s="5" t="s">
        <v>13</v>
      </c>
      <c r="C59" s="6">
        <v>1.3728199999999999</v>
      </c>
      <c r="D59" s="7">
        <v>10</v>
      </c>
      <c r="E59" s="6">
        <v>3.8056369999999999E-2</v>
      </c>
      <c r="F59" s="6">
        <v>50.753521110791119</v>
      </c>
      <c r="G59" s="7">
        <v>5</v>
      </c>
      <c r="H59" s="6">
        <v>2.204915E-2</v>
      </c>
      <c r="I59" s="6">
        <v>1.9868171426080321E-2</v>
      </c>
      <c r="J59" s="7">
        <v>-0.88518527640604405</v>
      </c>
      <c r="K59" s="5" t="s">
        <v>89</v>
      </c>
    </row>
    <row r="60" spans="1:11" x14ac:dyDescent="0.3">
      <c r="A60" s="4">
        <v>92000</v>
      </c>
      <c r="B60" s="4" t="s">
        <v>15</v>
      </c>
      <c r="C60" s="8">
        <v>1.303261</v>
      </c>
      <c r="D60" s="9">
        <v>14</v>
      </c>
      <c r="E60" s="8">
        <v>8.6983210000000005E-2</v>
      </c>
      <c r="F60" s="8">
        <v>39.670317554376638</v>
      </c>
      <c r="G60" s="9">
        <v>5.25</v>
      </c>
      <c r="H60" s="8">
        <v>2.566773E-2</v>
      </c>
      <c r="I60" s="8">
        <v>1.8369514408473991E-2</v>
      </c>
      <c r="J60" s="9">
        <v>-0.45536066509430012</v>
      </c>
      <c r="K60" s="4" t="s">
        <v>90</v>
      </c>
    </row>
    <row r="61" spans="1:11" x14ac:dyDescent="0.3">
      <c r="A61" s="4">
        <v>92000</v>
      </c>
      <c r="B61" s="4" t="s">
        <v>17</v>
      </c>
      <c r="C61" s="8">
        <v>1.3368089999999999</v>
      </c>
      <c r="D61" s="9">
        <v>11.5</v>
      </c>
      <c r="E61" s="8">
        <v>5.2953849999999997E-2</v>
      </c>
      <c r="F61" s="8">
        <v>41.95118698319552</v>
      </c>
      <c r="G61" s="9">
        <v>5.5</v>
      </c>
      <c r="H61" s="8">
        <v>2.5043320000000001E-2</v>
      </c>
      <c r="I61" s="8">
        <v>1.7997244224089499E-2</v>
      </c>
      <c r="J61" s="9">
        <v>-0.48790156443134841</v>
      </c>
      <c r="K61" s="4" t="s">
        <v>91</v>
      </c>
    </row>
    <row r="62" spans="1:11" x14ac:dyDescent="0.3">
      <c r="A62" s="4">
        <v>92000</v>
      </c>
      <c r="B62" s="4" t="s">
        <v>19</v>
      </c>
      <c r="C62" s="8">
        <v>1.371907</v>
      </c>
      <c r="D62" s="9">
        <v>10.5</v>
      </c>
      <c r="E62" s="8">
        <v>4.1563530000000001E-2</v>
      </c>
      <c r="F62" s="8">
        <v>44.37454658722104</v>
      </c>
      <c r="G62" s="9">
        <v>6</v>
      </c>
      <c r="H62" s="8">
        <v>2.488075E-2</v>
      </c>
      <c r="I62" s="8">
        <v>1.7576379422730229E-2</v>
      </c>
      <c r="J62" s="9">
        <v>-0.52635096211628307</v>
      </c>
      <c r="K62" s="4" t="s">
        <v>92</v>
      </c>
    </row>
    <row r="63" spans="1:11" x14ac:dyDescent="0.3">
      <c r="A63" s="4">
        <v>92000</v>
      </c>
      <c r="B63" s="4" t="s">
        <v>21</v>
      </c>
      <c r="C63" s="8">
        <v>1.3728199999999999</v>
      </c>
      <c r="D63" s="9">
        <v>10</v>
      </c>
      <c r="E63" s="8">
        <v>3.8056369999999999E-2</v>
      </c>
      <c r="F63" s="8">
        <v>46.503727331256961</v>
      </c>
      <c r="G63" s="9">
        <v>6.25</v>
      </c>
      <c r="H63" s="8">
        <v>2.4478639999999999E-2</v>
      </c>
      <c r="I63" s="8">
        <v>1.7152800317187619E-2</v>
      </c>
      <c r="J63" s="9">
        <v>-0.56628949395823258</v>
      </c>
      <c r="K63" s="4" t="s">
        <v>93</v>
      </c>
    </row>
    <row r="64" spans="1:11" x14ac:dyDescent="0.3">
      <c r="A64" s="4">
        <v>92000</v>
      </c>
      <c r="B64" s="4" t="s">
        <v>23</v>
      </c>
      <c r="C64" s="8">
        <v>1.3728199999999999</v>
      </c>
      <c r="D64" s="9">
        <v>10</v>
      </c>
      <c r="E64" s="8">
        <v>3.8056369999999999E-2</v>
      </c>
      <c r="F64" s="8">
        <v>48.005812408398867</v>
      </c>
      <c r="G64" s="9">
        <v>6.25</v>
      </c>
      <c r="H64" s="8">
        <v>2.396941E-2</v>
      </c>
      <c r="I64" s="8">
        <v>1.677334632002098E-2</v>
      </c>
      <c r="J64" s="9">
        <v>-0.60316800118016378</v>
      </c>
      <c r="K64" s="4" t="s">
        <v>94</v>
      </c>
    </row>
    <row r="65" spans="1:11" x14ac:dyDescent="0.3">
      <c r="A65" s="4">
        <v>92000</v>
      </c>
      <c r="B65" s="4" t="s">
        <v>25</v>
      </c>
      <c r="C65" s="8">
        <v>1.3728199999999999</v>
      </c>
      <c r="D65" s="9">
        <v>10</v>
      </c>
      <c r="E65" s="8">
        <v>3.8056369999999999E-2</v>
      </c>
      <c r="F65" s="8">
        <v>49.573449797051317</v>
      </c>
      <c r="G65" s="9">
        <v>6.25</v>
      </c>
      <c r="H65" s="8">
        <v>2.3604489999999999E-2</v>
      </c>
      <c r="I65" s="8">
        <v>1.6332567923797271E-2</v>
      </c>
      <c r="J65" s="9">
        <v>-0.64764583070492787</v>
      </c>
      <c r="K65" s="4" t="s">
        <v>95</v>
      </c>
    </row>
    <row r="66" spans="1:11" x14ac:dyDescent="0.3">
      <c r="A66" s="4">
        <v>92000</v>
      </c>
      <c r="B66" s="4" t="s">
        <v>27</v>
      </c>
      <c r="C66" s="8">
        <v>1.3728199999999999</v>
      </c>
      <c r="D66" s="9">
        <v>10</v>
      </c>
      <c r="E66" s="8">
        <v>3.8056369999999999E-2</v>
      </c>
      <c r="F66" s="8">
        <v>51.166062786203469</v>
      </c>
      <c r="G66" s="9">
        <v>5.5</v>
      </c>
      <c r="H66" s="8">
        <v>2.1883469999999999E-2</v>
      </c>
      <c r="I66" s="8">
        <v>1.5809699418524451E-2</v>
      </c>
      <c r="J66" s="9">
        <v>-0.70480515970813284</v>
      </c>
      <c r="K66" s="4" t="s">
        <v>96</v>
      </c>
    </row>
    <row r="67" spans="1:11" x14ac:dyDescent="0.3">
      <c r="A67" s="4">
        <v>92000</v>
      </c>
      <c r="B67" s="4" t="s">
        <v>29</v>
      </c>
      <c r="C67" s="8">
        <v>1.3728199999999999</v>
      </c>
      <c r="D67" s="9">
        <v>10</v>
      </c>
      <c r="E67" s="8">
        <v>3.8056369999999999E-2</v>
      </c>
      <c r="F67" s="8">
        <v>51.757257310453546</v>
      </c>
      <c r="G67" s="9">
        <v>5.25</v>
      </c>
      <c r="H67" s="8">
        <v>2.135743E-2</v>
      </c>
      <c r="I67" s="8">
        <v>1.556657030710311E-2</v>
      </c>
      <c r="J67" s="9">
        <v>-0.73403063805188218</v>
      </c>
      <c r="K67" s="4" t="s">
        <v>97</v>
      </c>
    </row>
    <row r="68" spans="1:11" x14ac:dyDescent="0.3">
      <c r="A68" s="4">
        <v>92000</v>
      </c>
      <c r="B68" s="4" t="s">
        <v>31</v>
      </c>
      <c r="C68" s="8">
        <v>1.3728199999999999</v>
      </c>
      <c r="D68" s="9">
        <v>10</v>
      </c>
      <c r="E68" s="8">
        <v>3.8056369999999999E-2</v>
      </c>
      <c r="F68" s="8">
        <v>52.142992445619157</v>
      </c>
      <c r="G68" s="9">
        <v>4.75</v>
      </c>
      <c r="H68" s="8">
        <v>2.0377579999999999E-2</v>
      </c>
      <c r="I68" s="8">
        <v>1.5348573531360959E-2</v>
      </c>
      <c r="J68" s="9">
        <v>-0.76216100605690618</v>
      </c>
      <c r="K68" s="4" t="s">
        <v>98</v>
      </c>
    </row>
    <row r="69" spans="1:11" x14ac:dyDescent="0.3">
      <c r="A69" s="4">
        <v>92000</v>
      </c>
      <c r="B69" s="4" t="s">
        <v>33</v>
      </c>
      <c r="C69" s="8">
        <v>1.3728199999999999</v>
      </c>
      <c r="D69" s="9">
        <v>10</v>
      </c>
      <c r="E69" s="8">
        <v>3.8056369999999999E-2</v>
      </c>
      <c r="F69" s="8">
        <v>52.405814618893999</v>
      </c>
      <c r="G69" s="9">
        <v>4.25</v>
      </c>
      <c r="H69" s="8">
        <v>1.9624329999999999E-2</v>
      </c>
      <c r="I69" s="8">
        <v>1.498574918786361E-2</v>
      </c>
      <c r="J69" s="9">
        <v>-0.81379619033188022</v>
      </c>
      <c r="K69" s="4" t="s">
        <v>99</v>
      </c>
    </row>
    <row r="70" spans="1:11" x14ac:dyDescent="0.3">
      <c r="A70" s="4">
        <v>92000</v>
      </c>
      <c r="B70" s="4" t="s">
        <v>35</v>
      </c>
      <c r="C70" s="8">
        <v>1.3728199999999999</v>
      </c>
      <c r="D70" s="9">
        <v>10</v>
      </c>
      <c r="E70" s="8">
        <v>3.8056369999999999E-2</v>
      </c>
      <c r="F70" s="8">
        <v>52.349111462783917</v>
      </c>
      <c r="G70" s="9">
        <v>3.75</v>
      </c>
      <c r="H70" s="8">
        <v>1.8735849999999998E-2</v>
      </c>
      <c r="I70" s="8">
        <v>1.4827679891756569E-2</v>
      </c>
      <c r="J70" s="9">
        <v>-0.83850012914505989</v>
      </c>
      <c r="K70" s="4" t="s">
        <v>100</v>
      </c>
    </row>
    <row r="71" spans="1:11" x14ac:dyDescent="0.3">
      <c r="A71" s="4">
        <v>92000</v>
      </c>
      <c r="B71" s="4" t="s">
        <v>37</v>
      </c>
      <c r="C71" s="8">
        <v>1.3728199999999999</v>
      </c>
      <c r="D71" s="9">
        <v>10</v>
      </c>
      <c r="E71" s="8">
        <v>3.8056369999999999E-2</v>
      </c>
      <c r="F71" s="8">
        <v>52.154386437014473</v>
      </c>
      <c r="G71" s="9">
        <v>3.5</v>
      </c>
      <c r="H71" s="8">
        <v>1.8431929999999999E-2</v>
      </c>
      <c r="I71" s="8">
        <v>1.468221881776347E-2</v>
      </c>
      <c r="J71" s="9">
        <v>-0.86291236776287894</v>
      </c>
      <c r="K71" s="4" t="s">
        <v>101</v>
      </c>
    </row>
    <row r="72" spans="1:11" x14ac:dyDescent="0.3">
      <c r="A72" s="4">
        <v>92000</v>
      </c>
      <c r="B72" s="4" t="s">
        <v>39</v>
      </c>
      <c r="C72" s="8">
        <v>1.3728199999999999</v>
      </c>
      <c r="D72" s="9">
        <v>10</v>
      </c>
      <c r="E72" s="8">
        <v>3.8056369999999999E-2</v>
      </c>
      <c r="F72" s="8">
        <v>51.192106771108612</v>
      </c>
      <c r="G72" s="9">
        <v>3</v>
      </c>
      <c r="H72" s="8">
        <v>1.7974899999999999E-2</v>
      </c>
      <c r="I72" s="8">
        <v>1.443607174273369E-2</v>
      </c>
      <c r="J72" s="9">
        <v>-0.91090469006644958</v>
      </c>
      <c r="K72" s="4" t="s">
        <v>102</v>
      </c>
    </row>
    <row r="73" spans="1:11" x14ac:dyDescent="0.3">
      <c r="A73" s="4">
        <v>92000</v>
      </c>
      <c r="B73" s="4" t="s">
        <v>41</v>
      </c>
      <c r="C73" s="8">
        <v>1.3728199999999999</v>
      </c>
      <c r="D73" s="9">
        <v>10</v>
      </c>
      <c r="E73" s="8">
        <v>3.8056369999999999E-2</v>
      </c>
      <c r="F73" s="8">
        <v>50.753521110791119</v>
      </c>
      <c r="G73" s="9">
        <v>5</v>
      </c>
      <c r="H73" s="8">
        <v>2.204915E-2</v>
      </c>
      <c r="I73" s="8">
        <v>1.434432822387521E-2</v>
      </c>
      <c r="J73" s="9">
        <v>-0.93388180091960515</v>
      </c>
      <c r="K73" s="4" t="s">
        <v>103</v>
      </c>
    </row>
    <row r="74" spans="1:11" x14ac:dyDescent="0.3">
      <c r="A74" s="4">
        <v>92000</v>
      </c>
      <c r="B74" s="4" t="s">
        <v>43</v>
      </c>
      <c r="C74" s="8">
        <v>1.3728199999999999</v>
      </c>
      <c r="D74" s="9">
        <v>10</v>
      </c>
      <c r="E74" s="8">
        <v>3.8056369999999999E-2</v>
      </c>
      <c r="F74" s="8">
        <v>50.753521110791119</v>
      </c>
      <c r="G74" s="9">
        <v>5</v>
      </c>
      <c r="H74" s="8">
        <v>2.204915E-2</v>
      </c>
      <c r="I74" s="8">
        <v>1.4279592292309431E-2</v>
      </c>
      <c r="J74" s="9">
        <v>-0.95668912040377718</v>
      </c>
      <c r="K74" s="4" t="s">
        <v>104</v>
      </c>
    </row>
    <row r="75" spans="1:11" x14ac:dyDescent="0.3">
      <c r="A75" s="4">
        <v>92000</v>
      </c>
      <c r="B75" s="4" t="s">
        <v>45</v>
      </c>
      <c r="C75" s="8">
        <v>1.3728199999999999</v>
      </c>
      <c r="D75" s="9">
        <v>10</v>
      </c>
      <c r="E75" s="8">
        <v>3.8056369999999999E-2</v>
      </c>
      <c r="F75" s="8">
        <v>50.753521110791119</v>
      </c>
      <c r="G75" s="9">
        <v>5</v>
      </c>
      <c r="H75" s="8">
        <v>2.204915E-2</v>
      </c>
      <c r="I75" s="8">
        <v>1.424062093711974E-2</v>
      </c>
      <c r="J75" s="9">
        <v>-1.0073794982289981</v>
      </c>
      <c r="K75" s="4" t="s">
        <v>105</v>
      </c>
    </row>
    <row r="76" spans="1:11" x14ac:dyDescent="0.3">
      <c r="A76" s="4">
        <v>92000</v>
      </c>
      <c r="B76" s="4" t="s">
        <v>47</v>
      </c>
      <c r="C76" s="8">
        <v>1.3728199999999999</v>
      </c>
      <c r="D76" s="9">
        <v>10</v>
      </c>
      <c r="E76" s="8">
        <v>3.8056369999999999E-2</v>
      </c>
      <c r="F76" s="8">
        <v>50.753521110791119</v>
      </c>
      <c r="G76" s="9">
        <v>5</v>
      </c>
      <c r="H76" s="8">
        <v>2.204915E-2</v>
      </c>
      <c r="I76" s="8">
        <v>1.428039825428256E-2</v>
      </c>
      <c r="J76" s="9">
        <v>-1.0384163750230251</v>
      </c>
      <c r="K76" s="4" t="s">
        <v>106</v>
      </c>
    </row>
    <row r="77" spans="1:11" x14ac:dyDescent="0.3">
      <c r="A77" s="4">
        <v>92000</v>
      </c>
      <c r="B77" s="4" t="s">
        <v>49</v>
      </c>
      <c r="C77" s="8">
        <v>1.3728199999999999</v>
      </c>
      <c r="D77" s="9">
        <v>10</v>
      </c>
      <c r="E77" s="8">
        <v>3.8056369999999999E-2</v>
      </c>
      <c r="F77" s="8">
        <v>50.753521110791119</v>
      </c>
      <c r="G77" s="9">
        <v>5</v>
      </c>
      <c r="H77" s="8">
        <v>2.204915E-2</v>
      </c>
      <c r="I77" s="8">
        <v>1.439040254312909E-2</v>
      </c>
      <c r="J77" s="9">
        <v>-1.070716835217133</v>
      </c>
      <c r="K77" s="4" t="s">
        <v>107</v>
      </c>
    </row>
    <row r="78" spans="1:11" x14ac:dyDescent="0.3">
      <c r="A78" s="5">
        <v>99000</v>
      </c>
      <c r="B78" s="5" t="s">
        <v>13</v>
      </c>
      <c r="C78" s="6">
        <v>1.3696900000000001</v>
      </c>
      <c r="D78" s="7">
        <v>10.25</v>
      </c>
      <c r="E78" s="6">
        <v>3.9006970000000002E-2</v>
      </c>
      <c r="F78" s="6">
        <v>52.83490243137534</v>
      </c>
      <c r="G78" s="7">
        <v>4.75</v>
      </c>
      <c r="H78" s="6">
        <v>2.0758209999999999E-2</v>
      </c>
      <c r="I78" s="6">
        <v>1.84975188721903E-2</v>
      </c>
      <c r="J78" s="7">
        <v>-1.0042571633658219</v>
      </c>
      <c r="K78" s="5" t="s">
        <v>108</v>
      </c>
    </row>
    <row r="79" spans="1:11" x14ac:dyDescent="0.3">
      <c r="A79" s="4">
        <v>99000</v>
      </c>
      <c r="B79" s="4" t="s">
        <v>15</v>
      </c>
      <c r="C79" s="8">
        <v>1.3144819999999999</v>
      </c>
      <c r="D79" s="9">
        <v>11.5</v>
      </c>
      <c r="E79" s="8">
        <v>5.5218459999999997E-2</v>
      </c>
      <c r="F79" s="8">
        <v>40.954002153718562</v>
      </c>
      <c r="G79" s="9">
        <v>5.25</v>
      </c>
      <c r="H79" s="8">
        <v>2.5007910000000001E-2</v>
      </c>
      <c r="I79" s="8">
        <v>1.7871597441105811E-2</v>
      </c>
      <c r="J79" s="9">
        <v>-0.49166740035468592</v>
      </c>
      <c r="K79" s="4" t="s">
        <v>109</v>
      </c>
    </row>
    <row r="80" spans="1:11" x14ac:dyDescent="0.3">
      <c r="A80" s="4">
        <v>99000</v>
      </c>
      <c r="B80" s="4" t="s">
        <v>17</v>
      </c>
      <c r="C80" s="8">
        <v>1.342962</v>
      </c>
      <c r="D80" s="9">
        <v>11.25</v>
      </c>
      <c r="E80" s="8">
        <v>4.9339260000000003E-2</v>
      </c>
      <c r="F80" s="8">
        <v>43.37909325584927</v>
      </c>
      <c r="G80" s="9">
        <v>5.5</v>
      </c>
      <c r="H80" s="8">
        <v>2.43663E-2</v>
      </c>
      <c r="I80" s="8">
        <v>1.750134118693273E-2</v>
      </c>
      <c r="J80" s="9">
        <v>-0.52532597270421733</v>
      </c>
      <c r="K80" s="4" t="s">
        <v>110</v>
      </c>
    </row>
    <row r="81" spans="1:11" x14ac:dyDescent="0.3">
      <c r="A81" s="4">
        <v>99000</v>
      </c>
      <c r="B81" s="4" t="s">
        <v>19</v>
      </c>
      <c r="C81" s="8">
        <v>1.3696900000000001</v>
      </c>
      <c r="D81" s="9">
        <v>10.25</v>
      </c>
      <c r="E81" s="8">
        <v>3.9007060000000003E-2</v>
      </c>
      <c r="F81" s="8">
        <v>45.957369716557793</v>
      </c>
      <c r="G81" s="9">
        <v>6</v>
      </c>
      <c r="H81" s="8">
        <v>2.4176710000000001E-2</v>
      </c>
      <c r="I81" s="8">
        <v>1.7082559615792262E-2</v>
      </c>
      <c r="J81" s="9">
        <v>-0.56491371886592501</v>
      </c>
      <c r="K81" s="4" t="s">
        <v>111</v>
      </c>
    </row>
    <row r="82" spans="1:11" x14ac:dyDescent="0.3">
      <c r="A82" s="4">
        <v>99000</v>
      </c>
      <c r="B82" s="4" t="s">
        <v>21</v>
      </c>
      <c r="C82" s="8">
        <v>1.3696900000000001</v>
      </c>
      <c r="D82" s="9">
        <v>10.25</v>
      </c>
      <c r="E82" s="8">
        <v>3.9006970000000002E-2</v>
      </c>
      <c r="F82" s="8">
        <v>48.196771808513553</v>
      </c>
      <c r="G82" s="9">
        <v>6.25</v>
      </c>
      <c r="H82" s="8">
        <v>2.376377E-2</v>
      </c>
      <c r="I82" s="8">
        <v>1.6660711508488388E-2</v>
      </c>
      <c r="J82" s="9">
        <v>-0.60595462437972658</v>
      </c>
      <c r="K82" s="4" t="s">
        <v>112</v>
      </c>
    </row>
    <row r="83" spans="1:11" x14ac:dyDescent="0.3">
      <c r="A83" s="4">
        <v>99000</v>
      </c>
      <c r="B83" s="4" t="s">
        <v>23</v>
      </c>
      <c r="C83" s="8">
        <v>1.3696900000000001</v>
      </c>
      <c r="D83" s="9">
        <v>10.25</v>
      </c>
      <c r="E83" s="8">
        <v>3.9006970000000002E-2</v>
      </c>
      <c r="F83" s="8">
        <v>49.739086635614363</v>
      </c>
      <c r="G83" s="9">
        <v>6.25</v>
      </c>
      <c r="H83" s="8">
        <v>2.3268259999999999E-2</v>
      </c>
      <c r="I83" s="8">
        <v>1.628184082558401E-2</v>
      </c>
      <c r="J83" s="9">
        <v>-0.64385070532113065</v>
      </c>
      <c r="K83" s="4" t="s">
        <v>113</v>
      </c>
    </row>
    <row r="84" spans="1:11" x14ac:dyDescent="0.3">
      <c r="A84" s="4">
        <v>99000</v>
      </c>
      <c r="B84" s="4" t="s">
        <v>25</v>
      </c>
      <c r="C84" s="8">
        <v>1.3696900000000001</v>
      </c>
      <c r="D84" s="9">
        <v>10.25</v>
      </c>
      <c r="E84" s="8">
        <v>3.9006970000000002E-2</v>
      </c>
      <c r="F84" s="8">
        <v>51.284670063959688</v>
      </c>
      <c r="G84" s="9">
        <v>6</v>
      </c>
      <c r="H84" s="8">
        <v>2.2461020000000002E-2</v>
      </c>
      <c r="I84" s="8">
        <v>1.5843481467888419E-2</v>
      </c>
      <c r="J84" s="9">
        <v>-0.68920537504524615</v>
      </c>
      <c r="K84" s="4" t="s">
        <v>114</v>
      </c>
    </row>
    <row r="85" spans="1:11" x14ac:dyDescent="0.3">
      <c r="A85" s="4">
        <v>99000</v>
      </c>
      <c r="B85" s="4" t="s">
        <v>27</v>
      </c>
      <c r="C85" s="8">
        <v>1.3696900000000001</v>
      </c>
      <c r="D85" s="9">
        <v>10.25</v>
      </c>
      <c r="E85" s="8">
        <v>3.9006970000000002E-2</v>
      </c>
      <c r="F85" s="8">
        <v>52.879041976961283</v>
      </c>
      <c r="G85" s="9">
        <v>5.5</v>
      </c>
      <c r="H85" s="8">
        <v>2.1275479999999999E-2</v>
      </c>
      <c r="I85" s="8">
        <v>1.5326057373825331E-2</v>
      </c>
      <c r="J85" s="9">
        <v>-0.74685243641377319</v>
      </c>
      <c r="K85" s="4" t="s">
        <v>115</v>
      </c>
    </row>
    <row r="86" spans="1:11" x14ac:dyDescent="0.3">
      <c r="A86" s="4">
        <v>99000</v>
      </c>
      <c r="B86" s="4" t="s">
        <v>29</v>
      </c>
      <c r="C86" s="8">
        <v>1.3696900000000001</v>
      </c>
      <c r="D86" s="9">
        <v>10.25</v>
      </c>
      <c r="E86" s="8">
        <v>3.9006970000000002E-2</v>
      </c>
      <c r="F86" s="8">
        <v>53.467096441837121</v>
      </c>
      <c r="G86" s="9">
        <v>5.25</v>
      </c>
      <c r="H86" s="8">
        <v>2.0770549999999999E-2</v>
      </c>
      <c r="I86" s="8">
        <v>1.5086374546378239E-2</v>
      </c>
      <c r="J86" s="9">
        <v>-0.77624034836602651</v>
      </c>
      <c r="K86" s="4" t="s">
        <v>116</v>
      </c>
    </row>
    <row r="87" spans="1:11" x14ac:dyDescent="0.3">
      <c r="A87" s="4">
        <v>99000</v>
      </c>
      <c r="B87" s="4" t="s">
        <v>31</v>
      </c>
      <c r="C87" s="8">
        <v>1.3696900000000001</v>
      </c>
      <c r="D87" s="9">
        <v>10.25</v>
      </c>
      <c r="E87" s="8">
        <v>3.9006970000000002E-2</v>
      </c>
      <c r="F87" s="8">
        <v>53.896746467623707</v>
      </c>
      <c r="G87" s="9">
        <v>4.75</v>
      </c>
      <c r="H87" s="8">
        <v>1.980678E-2</v>
      </c>
      <c r="I87" s="8">
        <v>1.4870548773014761E-2</v>
      </c>
      <c r="J87" s="9">
        <v>-0.80453267744202384</v>
      </c>
      <c r="K87" s="4" t="s">
        <v>117</v>
      </c>
    </row>
    <row r="88" spans="1:11" x14ac:dyDescent="0.3">
      <c r="A88" s="4">
        <v>99000</v>
      </c>
      <c r="B88" s="4" t="s">
        <v>33</v>
      </c>
      <c r="C88" s="8">
        <v>1.3696900000000001</v>
      </c>
      <c r="D88" s="9">
        <v>10.25</v>
      </c>
      <c r="E88" s="8">
        <v>3.9006970000000002E-2</v>
      </c>
      <c r="F88" s="8">
        <v>54.203651689182813</v>
      </c>
      <c r="G88" s="9">
        <v>4</v>
      </c>
      <c r="H88" s="8">
        <v>1.853115E-2</v>
      </c>
      <c r="I88" s="8">
        <v>1.4507889120011479E-2</v>
      </c>
      <c r="J88" s="9">
        <v>-0.85658316585319172</v>
      </c>
      <c r="K88" s="4" t="s">
        <v>118</v>
      </c>
    </row>
    <row r="89" spans="1:11" x14ac:dyDescent="0.3">
      <c r="A89" s="4">
        <v>99000</v>
      </c>
      <c r="B89" s="4" t="s">
        <v>35</v>
      </c>
      <c r="C89" s="8">
        <v>1.3696900000000001</v>
      </c>
      <c r="D89" s="9">
        <v>10.25</v>
      </c>
      <c r="E89" s="8">
        <v>3.9006970000000002E-2</v>
      </c>
      <c r="F89" s="8">
        <v>54.146879227116848</v>
      </c>
      <c r="G89" s="9">
        <v>3.75</v>
      </c>
      <c r="H89" s="8">
        <v>1.8200939999999999E-2</v>
      </c>
      <c r="I89" s="8">
        <v>1.434847861975143E-2</v>
      </c>
      <c r="J89" s="9">
        <v>-0.88159906895086193</v>
      </c>
      <c r="K89" s="4" t="s">
        <v>119</v>
      </c>
    </row>
    <row r="90" spans="1:11" x14ac:dyDescent="0.3">
      <c r="A90" s="4">
        <v>99000</v>
      </c>
      <c r="B90" s="4" t="s">
        <v>37</v>
      </c>
      <c r="C90" s="8">
        <v>1.3696900000000001</v>
      </c>
      <c r="D90" s="9">
        <v>10.25</v>
      </c>
      <c r="E90" s="8">
        <v>3.9006970000000002E-2</v>
      </c>
      <c r="F90" s="8">
        <v>53.947799611088342</v>
      </c>
      <c r="G90" s="9">
        <v>3.5</v>
      </c>
      <c r="H90" s="8">
        <v>1.790638E-2</v>
      </c>
      <c r="I90" s="8">
        <v>1.420072347352525E-2</v>
      </c>
      <c r="J90" s="9">
        <v>-0.90647035042033808</v>
      </c>
      <c r="K90" s="4" t="s">
        <v>120</v>
      </c>
    </row>
    <row r="91" spans="1:11" x14ac:dyDescent="0.3">
      <c r="A91" s="4">
        <v>99000</v>
      </c>
      <c r="B91" s="4" t="s">
        <v>39</v>
      </c>
      <c r="C91" s="8">
        <v>1.3696900000000001</v>
      </c>
      <c r="D91" s="9">
        <v>10.25</v>
      </c>
      <c r="E91" s="8">
        <v>3.9006970000000002E-2</v>
      </c>
      <c r="F91" s="8">
        <v>53.116554871621283</v>
      </c>
      <c r="G91" s="9">
        <v>2.75</v>
      </c>
      <c r="H91" s="8">
        <v>1.6838849999999999E-2</v>
      </c>
      <c r="I91" s="8">
        <v>1.394680386772797E-2</v>
      </c>
      <c r="J91" s="9">
        <v>-0.9555358190790898</v>
      </c>
      <c r="K91" s="4" t="s">
        <v>121</v>
      </c>
    </row>
    <row r="92" spans="1:11" x14ac:dyDescent="0.3">
      <c r="A92" s="4">
        <v>99000</v>
      </c>
      <c r="B92" s="4" t="s">
        <v>41</v>
      </c>
      <c r="C92" s="8">
        <v>1.3696900000000001</v>
      </c>
      <c r="D92" s="9">
        <v>10.25</v>
      </c>
      <c r="E92" s="8">
        <v>3.9006970000000002E-2</v>
      </c>
      <c r="F92" s="8">
        <v>52.83490243137534</v>
      </c>
      <c r="G92" s="9">
        <v>4.75</v>
      </c>
      <c r="H92" s="8">
        <v>2.0758209999999999E-2</v>
      </c>
      <c r="I92" s="8">
        <v>1.3849064944911031E-2</v>
      </c>
      <c r="J92" s="9">
        <v>-0.97923479270080993</v>
      </c>
      <c r="K92" s="4" t="s">
        <v>122</v>
      </c>
    </row>
    <row r="93" spans="1:11" x14ac:dyDescent="0.3">
      <c r="A93" s="4">
        <v>99000</v>
      </c>
      <c r="B93" s="4" t="s">
        <v>43</v>
      </c>
      <c r="C93" s="8">
        <v>1.3696900000000001</v>
      </c>
      <c r="D93" s="9">
        <v>10.25</v>
      </c>
      <c r="E93" s="8">
        <v>3.9006970000000002E-2</v>
      </c>
      <c r="F93" s="8">
        <v>52.83490243137534</v>
      </c>
      <c r="G93" s="9">
        <v>4.75</v>
      </c>
      <c r="H93" s="8">
        <v>2.0758209999999999E-2</v>
      </c>
      <c r="I93" s="8">
        <v>1.377716225246795E-2</v>
      </c>
      <c r="J93" s="9">
        <v>-1.002922028141106</v>
      </c>
      <c r="K93" s="4" t="s">
        <v>123</v>
      </c>
    </row>
    <row r="94" spans="1:11" x14ac:dyDescent="0.3">
      <c r="A94" s="4">
        <v>99000</v>
      </c>
      <c r="B94" s="4" t="s">
        <v>45</v>
      </c>
      <c r="C94" s="8">
        <v>1.3696900000000001</v>
      </c>
      <c r="D94" s="9">
        <v>10.25</v>
      </c>
      <c r="E94" s="8">
        <v>3.9006970000000002E-2</v>
      </c>
      <c r="F94" s="8">
        <v>52.83490243137534</v>
      </c>
      <c r="G94" s="9">
        <v>4.75</v>
      </c>
      <c r="H94" s="8">
        <v>2.0758209999999999E-2</v>
      </c>
      <c r="I94" s="8">
        <v>1.3722391417816671E-2</v>
      </c>
      <c r="J94" s="9">
        <v>-1.054291460132027</v>
      </c>
      <c r="K94" s="4" t="s">
        <v>124</v>
      </c>
    </row>
    <row r="95" spans="1:11" x14ac:dyDescent="0.3">
      <c r="A95" s="4">
        <v>99000</v>
      </c>
      <c r="B95" s="4" t="s">
        <v>47</v>
      </c>
      <c r="C95" s="8">
        <v>1.3696900000000001</v>
      </c>
      <c r="D95" s="9">
        <v>10.25</v>
      </c>
      <c r="E95" s="8">
        <v>3.9006970000000002E-2</v>
      </c>
      <c r="F95" s="8">
        <v>52.83490243137534</v>
      </c>
      <c r="G95" s="9">
        <v>4.75</v>
      </c>
      <c r="H95" s="8">
        <v>2.0758209999999999E-2</v>
      </c>
      <c r="I95" s="8">
        <v>1.3750655522294019E-2</v>
      </c>
      <c r="J95" s="9">
        <v>-1.084992354798805</v>
      </c>
      <c r="K95" s="4" t="s">
        <v>125</v>
      </c>
    </row>
    <row r="96" spans="1:11" x14ac:dyDescent="0.3">
      <c r="A96" s="4">
        <v>99000</v>
      </c>
      <c r="B96" s="4" t="s">
        <v>49</v>
      </c>
      <c r="C96" s="8">
        <v>1.3696900000000001</v>
      </c>
      <c r="D96" s="9">
        <v>10.25</v>
      </c>
      <c r="E96" s="8">
        <v>3.9006970000000002E-2</v>
      </c>
      <c r="F96" s="8">
        <v>52.83490243137534</v>
      </c>
      <c r="G96" s="9">
        <v>4.75</v>
      </c>
      <c r="H96" s="8">
        <v>2.0758209999999999E-2</v>
      </c>
      <c r="I96" s="8">
        <v>1.384350338942803E-2</v>
      </c>
      <c r="J96" s="9">
        <v>-1.117365559788958</v>
      </c>
      <c r="K96" s="4" t="s">
        <v>126</v>
      </c>
    </row>
    <row r="97" spans="1:11" x14ac:dyDescent="0.3">
      <c r="A97" s="5">
        <v>119000</v>
      </c>
      <c r="B97" s="5" t="s">
        <v>13</v>
      </c>
      <c r="C97" s="6">
        <v>1.368106</v>
      </c>
      <c r="D97" s="7">
        <v>10.5</v>
      </c>
      <c r="E97" s="6">
        <v>3.9295389999999999E-2</v>
      </c>
      <c r="F97" s="6">
        <v>58.11281150372556</v>
      </c>
      <c r="G97" s="7">
        <v>4.5</v>
      </c>
      <c r="H97" s="6">
        <v>1.846567E-2</v>
      </c>
      <c r="I97" s="6">
        <v>1.532627924846007E-2</v>
      </c>
      <c r="J97" s="7">
        <v>-1.2839015033424019</v>
      </c>
      <c r="K97" s="5" t="s">
        <v>127</v>
      </c>
    </row>
    <row r="98" spans="1:11" x14ac:dyDescent="0.3">
      <c r="A98" s="4">
        <v>119000</v>
      </c>
      <c r="B98" s="4" t="s">
        <v>15</v>
      </c>
      <c r="C98" s="8">
        <v>1.348201</v>
      </c>
      <c r="D98" s="9">
        <v>11.5</v>
      </c>
      <c r="E98" s="8">
        <v>5.0850319999999997E-2</v>
      </c>
      <c r="F98" s="8">
        <v>44.21971146885766</v>
      </c>
      <c r="G98" s="9">
        <v>5.5</v>
      </c>
      <c r="H98" s="8">
        <v>2.389898E-2</v>
      </c>
      <c r="I98" s="8">
        <v>1.669525119707661E-2</v>
      </c>
      <c r="J98" s="9">
        <v>-0.56486265120967727</v>
      </c>
      <c r="K98" s="4" t="s">
        <v>128</v>
      </c>
    </row>
    <row r="99" spans="1:11" x14ac:dyDescent="0.3">
      <c r="A99" s="4">
        <v>119000</v>
      </c>
      <c r="B99" s="4" t="s">
        <v>17</v>
      </c>
      <c r="C99" s="8">
        <v>1.3609039999999999</v>
      </c>
      <c r="D99" s="9">
        <v>10.75</v>
      </c>
      <c r="E99" s="8">
        <v>4.1937950000000002E-2</v>
      </c>
      <c r="F99" s="8">
        <v>47.038970490593243</v>
      </c>
      <c r="G99" s="9">
        <v>5.75</v>
      </c>
      <c r="H99" s="8">
        <v>2.319396E-2</v>
      </c>
      <c r="I99" s="8">
        <v>1.6325606714389849E-2</v>
      </c>
      <c r="J99" s="9">
        <v>-0.60117676462624736</v>
      </c>
      <c r="K99" s="4" t="s">
        <v>129</v>
      </c>
    </row>
    <row r="100" spans="1:11" x14ac:dyDescent="0.3">
      <c r="A100" s="4">
        <v>119000</v>
      </c>
      <c r="B100" s="4" t="s">
        <v>19</v>
      </c>
      <c r="C100" s="8">
        <v>1.368106</v>
      </c>
      <c r="D100" s="9">
        <v>10.5</v>
      </c>
      <c r="E100" s="8">
        <v>3.9295389999999999E-2</v>
      </c>
      <c r="F100" s="8">
        <v>49.992939176557002</v>
      </c>
      <c r="G100" s="9">
        <v>6</v>
      </c>
      <c r="H100" s="8">
        <v>2.251862E-2</v>
      </c>
      <c r="I100" s="8">
        <v>1.5906787082838991E-2</v>
      </c>
      <c r="J100" s="9">
        <v>-0.64397299744112302</v>
      </c>
      <c r="K100" s="4" t="s">
        <v>130</v>
      </c>
    </row>
    <row r="101" spans="1:11" x14ac:dyDescent="0.3">
      <c r="A101" s="4">
        <v>119000</v>
      </c>
      <c r="B101" s="4" t="s">
        <v>21</v>
      </c>
      <c r="C101" s="8">
        <v>1.368106</v>
      </c>
      <c r="D101" s="9">
        <v>10.5</v>
      </c>
      <c r="E101" s="8">
        <v>3.9295389999999999E-2</v>
      </c>
      <c r="F101" s="8">
        <v>52.545523877844552</v>
      </c>
      <c r="G101" s="9">
        <v>6.25</v>
      </c>
      <c r="H101" s="8">
        <v>2.2080720000000002E-2</v>
      </c>
      <c r="I101" s="8">
        <v>1.5486694407889599E-2</v>
      </c>
      <c r="J101" s="9">
        <v>-0.68810623271941485</v>
      </c>
      <c r="K101" s="4" t="s">
        <v>131</v>
      </c>
    </row>
    <row r="102" spans="1:11" x14ac:dyDescent="0.3">
      <c r="A102" s="4">
        <v>119000</v>
      </c>
      <c r="B102" s="4" t="s">
        <v>23</v>
      </c>
      <c r="C102" s="8">
        <v>1.368106</v>
      </c>
      <c r="D102" s="9">
        <v>10.5</v>
      </c>
      <c r="E102" s="8">
        <v>3.9295389999999999E-2</v>
      </c>
      <c r="F102" s="8">
        <v>54.216955000328547</v>
      </c>
      <c r="G102" s="9">
        <v>6.25</v>
      </c>
      <c r="H102" s="8">
        <v>2.1610379999999998E-2</v>
      </c>
      <c r="I102" s="8">
        <v>1.51078844194879E-2</v>
      </c>
      <c r="J102" s="9">
        <v>-0.72882793751507535</v>
      </c>
      <c r="K102" s="4" t="s">
        <v>132</v>
      </c>
    </row>
    <row r="103" spans="1:11" x14ac:dyDescent="0.3">
      <c r="A103" s="4">
        <v>119000</v>
      </c>
      <c r="B103" s="4" t="s">
        <v>25</v>
      </c>
      <c r="C103" s="8">
        <v>1.368106</v>
      </c>
      <c r="D103" s="9">
        <v>10.5</v>
      </c>
      <c r="E103" s="8">
        <v>3.9295389999999999E-2</v>
      </c>
      <c r="F103" s="8">
        <v>55.722498884076472</v>
      </c>
      <c r="G103" s="9">
        <v>6</v>
      </c>
      <c r="H103" s="8">
        <v>2.0901969999999999E-2</v>
      </c>
      <c r="I103" s="8">
        <v>1.4674282985222281E-2</v>
      </c>
      <c r="J103" s="9">
        <v>-0.77704343382728702</v>
      </c>
      <c r="K103" s="4" t="s">
        <v>133</v>
      </c>
    </row>
    <row r="104" spans="1:11" x14ac:dyDescent="0.3">
      <c r="A104" s="4">
        <v>119000</v>
      </c>
      <c r="B104" s="4" t="s">
        <v>27</v>
      </c>
      <c r="C104" s="8">
        <v>1.368106</v>
      </c>
      <c r="D104" s="9">
        <v>10.5</v>
      </c>
      <c r="E104" s="8">
        <v>3.9295389999999999E-2</v>
      </c>
      <c r="F104" s="8">
        <v>57.340988113026917</v>
      </c>
      <c r="G104" s="9">
        <v>5.25</v>
      </c>
      <c r="H104" s="8">
        <v>1.936742E-2</v>
      </c>
      <c r="I104" s="8">
        <v>1.4169441195828761E-2</v>
      </c>
      <c r="J104" s="9">
        <v>-0.83698492503028343</v>
      </c>
      <c r="K104" s="4" t="s">
        <v>134</v>
      </c>
    </row>
    <row r="105" spans="1:11" x14ac:dyDescent="0.3">
      <c r="A105" s="4">
        <v>119000</v>
      </c>
      <c r="B105" s="4" t="s">
        <v>29</v>
      </c>
      <c r="C105" s="8">
        <v>1.368106</v>
      </c>
      <c r="D105" s="9">
        <v>10.5</v>
      </c>
      <c r="E105" s="8">
        <v>3.9295389999999999E-2</v>
      </c>
      <c r="F105" s="8">
        <v>57.975407813193428</v>
      </c>
      <c r="G105" s="9">
        <v>5</v>
      </c>
      <c r="H105" s="8">
        <v>1.888242E-2</v>
      </c>
      <c r="I105" s="8">
        <v>1.3935126334414089E-2</v>
      </c>
      <c r="J105" s="9">
        <v>-0.86703948801084008</v>
      </c>
      <c r="K105" s="4" t="s">
        <v>135</v>
      </c>
    </row>
    <row r="106" spans="1:11" x14ac:dyDescent="0.3">
      <c r="A106" s="4">
        <v>119000</v>
      </c>
      <c r="B106" s="4" t="s">
        <v>31</v>
      </c>
      <c r="C106" s="8">
        <v>1.368106</v>
      </c>
      <c r="D106" s="9">
        <v>10.5</v>
      </c>
      <c r="E106" s="8">
        <v>3.9295389999999999E-2</v>
      </c>
      <c r="F106" s="8">
        <v>58.462375291574944</v>
      </c>
      <c r="G106" s="9">
        <v>4.5</v>
      </c>
      <c r="H106" s="8">
        <v>1.797994E-2</v>
      </c>
      <c r="I106" s="8">
        <v>1.372275605714102E-2</v>
      </c>
      <c r="J106" s="9">
        <v>-0.89595328112883854</v>
      </c>
      <c r="K106" s="4" t="s">
        <v>136</v>
      </c>
    </row>
    <row r="107" spans="1:11" x14ac:dyDescent="0.3">
      <c r="A107" s="4">
        <v>119000</v>
      </c>
      <c r="B107" s="4" t="s">
        <v>33</v>
      </c>
      <c r="C107" s="8">
        <v>1.368106</v>
      </c>
      <c r="D107" s="9">
        <v>10.5</v>
      </c>
      <c r="E107" s="8">
        <v>3.9295389999999999E-2</v>
      </c>
      <c r="F107" s="8">
        <v>58.883603392874733</v>
      </c>
      <c r="G107" s="9">
        <v>3.75</v>
      </c>
      <c r="H107" s="8">
        <v>1.675865E-2</v>
      </c>
      <c r="I107" s="8">
        <v>1.3360130255602769E-2</v>
      </c>
      <c r="J107" s="9">
        <v>-0.94953220547082406</v>
      </c>
      <c r="K107" s="4" t="s">
        <v>137</v>
      </c>
    </row>
    <row r="108" spans="1:11" x14ac:dyDescent="0.3">
      <c r="A108" s="4">
        <v>119000</v>
      </c>
      <c r="B108" s="4" t="s">
        <v>35</v>
      </c>
      <c r="C108" s="8">
        <v>1.368106</v>
      </c>
      <c r="D108" s="9">
        <v>10.5</v>
      </c>
      <c r="E108" s="8">
        <v>3.9295389999999999E-2</v>
      </c>
      <c r="F108" s="8">
        <v>58.913938058892732</v>
      </c>
      <c r="G108" s="9">
        <v>3.5</v>
      </c>
      <c r="H108" s="8">
        <v>1.6415269999999999E-2</v>
      </c>
      <c r="I108" s="8">
        <v>1.319742683484725E-2</v>
      </c>
      <c r="J108" s="9">
        <v>-0.97566337381487167</v>
      </c>
      <c r="K108" s="4" t="s">
        <v>138</v>
      </c>
    </row>
    <row r="109" spans="1:11" x14ac:dyDescent="0.3">
      <c r="A109" s="4">
        <v>119000</v>
      </c>
      <c r="B109" s="4" t="s">
        <v>37</v>
      </c>
      <c r="C109" s="8">
        <v>1.368106</v>
      </c>
      <c r="D109" s="9">
        <v>10.5</v>
      </c>
      <c r="E109" s="8">
        <v>3.9295389999999999E-2</v>
      </c>
      <c r="F109" s="8">
        <v>58.813579746910918</v>
      </c>
      <c r="G109" s="9">
        <v>3.25</v>
      </c>
      <c r="H109" s="8">
        <v>1.6098680000000001E-2</v>
      </c>
      <c r="I109" s="8">
        <v>1.304436330157894E-2</v>
      </c>
      <c r="J109" s="9">
        <v>-1.001766238221754</v>
      </c>
      <c r="K109" s="4" t="s">
        <v>139</v>
      </c>
    </row>
    <row r="110" spans="1:11" x14ac:dyDescent="0.3">
      <c r="A110" s="4">
        <v>119000</v>
      </c>
      <c r="B110" s="4" t="s">
        <v>39</v>
      </c>
      <c r="C110" s="8">
        <v>1.368106</v>
      </c>
      <c r="D110" s="9">
        <v>10.5</v>
      </c>
      <c r="E110" s="8">
        <v>3.9295389999999999E-2</v>
      </c>
      <c r="F110" s="8">
        <v>58.121242961375273</v>
      </c>
      <c r="G110" s="9">
        <v>2.75</v>
      </c>
      <c r="H110" s="8">
        <v>1.5564120000000001E-2</v>
      </c>
      <c r="I110" s="8">
        <v>1.2773740790054749E-2</v>
      </c>
      <c r="J110" s="9">
        <v>-1.054695335386763</v>
      </c>
      <c r="K110" s="4" t="s">
        <v>140</v>
      </c>
    </row>
    <row r="111" spans="1:11" x14ac:dyDescent="0.3">
      <c r="A111" s="4">
        <v>119000</v>
      </c>
      <c r="B111" s="4" t="s">
        <v>41</v>
      </c>
      <c r="C111" s="8">
        <v>1.368106</v>
      </c>
      <c r="D111" s="9">
        <v>10.5</v>
      </c>
      <c r="E111" s="8">
        <v>3.9295389999999999E-2</v>
      </c>
      <c r="F111" s="8">
        <v>58.11281150372556</v>
      </c>
      <c r="G111" s="9">
        <v>4.5</v>
      </c>
      <c r="H111" s="8">
        <v>1.846567E-2</v>
      </c>
      <c r="I111" s="8">
        <v>1.2663729560854591E-2</v>
      </c>
      <c r="J111" s="9">
        <v>-1.080554107013052</v>
      </c>
      <c r="K111" s="4" t="s">
        <v>141</v>
      </c>
    </row>
    <row r="112" spans="1:11" x14ac:dyDescent="0.3">
      <c r="A112" s="4">
        <v>119000</v>
      </c>
      <c r="B112" s="4" t="s">
        <v>43</v>
      </c>
      <c r="C112" s="8">
        <v>1.368106</v>
      </c>
      <c r="D112" s="9">
        <v>10.5</v>
      </c>
      <c r="E112" s="8">
        <v>3.9295389999999999E-2</v>
      </c>
      <c r="F112" s="8">
        <v>58.11281150372556</v>
      </c>
      <c r="G112" s="9">
        <v>4.5</v>
      </c>
      <c r="H112" s="8">
        <v>1.846567E-2</v>
      </c>
      <c r="I112" s="8">
        <v>1.2577939979532309E-2</v>
      </c>
      <c r="J112" s="9">
        <v>-1.1057844831318711</v>
      </c>
      <c r="K112" s="4" t="s">
        <v>142</v>
      </c>
    </row>
    <row r="113" spans="1:11" x14ac:dyDescent="0.3">
      <c r="A113" s="4">
        <v>119000</v>
      </c>
      <c r="B113" s="4" t="s">
        <v>45</v>
      </c>
      <c r="C113" s="8">
        <v>1.368106</v>
      </c>
      <c r="D113" s="9">
        <v>10.5</v>
      </c>
      <c r="E113" s="8">
        <v>3.9295389999999999E-2</v>
      </c>
      <c r="F113" s="8">
        <v>58.11281150372556</v>
      </c>
      <c r="G113" s="9">
        <v>4.5</v>
      </c>
      <c r="H113" s="8">
        <v>1.846567E-2</v>
      </c>
      <c r="I113" s="8">
        <v>1.2484074907361651E-2</v>
      </c>
      <c r="J113" s="9">
        <v>-1.1585728906824611</v>
      </c>
      <c r="K113" s="4" t="s">
        <v>143</v>
      </c>
    </row>
    <row r="114" spans="1:11" x14ac:dyDescent="0.3">
      <c r="A114" s="4">
        <v>119000</v>
      </c>
      <c r="B114" s="4" t="s">
        <v>47</v>
      </c>
      <c r="C114" s="8">
        <v>1.368106</v>
      </c>
      <c r="D114" s="9">
        <v>10.5</v>
      </c>
      <c r="E114" s="8">
        <v>3.9295389999999999E-2</v>
      </c>
      <c r="F114" s="8">
        <v>58.11281150372556</v>
      </c>
      <c r="G114" s="9">
        <v>4.5</v>
      </c>
      <c r="H114" s="8">
        <v>1.846567E-2</v>
      </c>
      <c r="I114" s="8">
        <v>1.24869460044271E-2</v>
      </c>
      <c r="J114" s="9">
        <v>-1.188819838649966</v>
      </c>
      <c r="K114" s="4" t="s">
        <v>144</v>
      </c>
    </row>
    <row r="115" spans="1:11" x14ac:dyDescent="0.3">
      <c r="A115" s="4">
        <v>119000</v>
      </c>
      <c r="B115" s="4" t="s">
        <v>49</v>
      </c>
      <c r="C115" s="8">
        <v>1.368106</v>
      </c>
      <c r="D115" s="9">
        <v>10.5</v>
      </c>
      <c r="E115" s="8">
        <v>3.9295389999999999E-2</v>
      </c>
      <c r="F115" s="8">
        <v>58.11281150372556</v>
      </c>
      <c r="G115" s="9">
        <v>4.5</v>
      </c>
      <c r="H115" s="8">
        <v>1.846567E-2</v>
      </c>
      <c r="I115" s="8">
        <v>1.2542530792631811E-2</v>
      </c>
      <c r="J115" s="9">
        <v>-1.221517545773664</v>
      </c>
      <c r="K115" s="4" t="s">
        <v>145</v>
      </c>
    </row>
    <row r="116" spans="1:11" x14ac:dyDescent="0.3">
      <c r="A116" s="5">
        <v>126000</v>
      </c>
      <c r="B116" s="5" t="s">
        <v>13</v>
      </c>
      <c r="C116" s="6">
        <v>1.3695759999999999</v>
      </c>
      <c r="D116" s="7">
        <v>10.5</v>
      </c>
      <c r="E116" s="6">
        <v>3.8824659999999997E-2</v>
      </c>
      <c r="F116" s="6">
        <v>59.63157404419885</v>
      </c>
      <c r="G116" s="7">
        <v>4.25</v>
      </c>
      <c r="H116" s="6">
        <v>1.7604080000000001E-2</v>
      </c>
      <c r="I116" s="6">
        <v>1.4604451493381279E-2</v>
      </c>
      <c r="J116" s="7">
        <v>-1.326129413216294</v>
      </c>
      <c r="K116" s="5" t="s">
        <v>146</v>
      </c>
    </row>
    <row r="117" spans="1:11" x14ac:dyDescent="0.3">
      <c r="A117" s="4">
        <v>126000</v>
      </c>
      <c r="B117" s="4" t="s">
        <v>15</v>
      </c>
      <c r="C117" s="8">
        <v>1.3561879999999999</v>
      </c>
      <c r="D117" s="9">
        <v>11.25</v>
      </c>
      <c r="E117" s="8">
        <v>4.7177919999999998E-2</v>
      </c>
      <c r="F117" s="8">
        <v>45.165615850990257</v>
      </c>
      <c r="G117" s="9">
        <v>5.5</v>
      </c>
      <c r="H117" s="8">
        <v>2.3469070000000002E-2</v>
      </c>
      <c r="I117" s="8">
        <v>1.637887840972365E-2</v>
      </c>
      <c r="J117" s="9">
        <v>-0.58173624029461546</v>
      </c>
      <c r="K117" s="4" t="s">
        <v>147</v>
      </c>
    </row>
    <row r="118" spans="1:11" x14ac:dyDescent="0.3">
      <c r="A118" s="4">
        <v>126000</v>
      </c>
      <c r="B118" s="4" t="s">
        <v>17</v>
      </c>
      <c r="C118" s="8">
        <v>1.3669819999999999</v>
      </c>
      <c r="D118" s="9">
        <v>10.75</v>
      </c>
      <c r="E118" s="8">
        <v>4.118782E-2</v>
      </c>
      <c r="F118" s="8">
        <v>48.095919029208297</v>
      </c>
      <c r="G118" s="9">
        <v>5.75</v>
      </c>
      <c r="H118" s="8">
        <v>2.2755859999999999E-2</v>
      </c>
      <c r="I118" s="8">
        <v>1.600956491381644E-2</v>
      </c>
      <c r="J118" s="9">
        <v>-0.61867366018815029</v>
      </c>
      <c r="K118" s="4" t="s">
        <v>148</v>
      </c>
    </row>
    <row r="119" spans="1:11" x14ac:dyDescent="0.3">
      <c r="A119" s="4">
        <v>126000</v>
      </c>
      <c r="B119" s="4" t="s">
        <v>19</v>
      </c>
      <c r="C119" s="8">
        <v>1.3695759999999999</v>
      </c>
      <c r="D119" s="9">
        <v>10.5</v>
      </c>
      <c r="E119" s="8">
        <v>3.8824659999999997E-2</v>
      </c>
      <c r="F119" s="8">
        <v>51.159896789344081</v>
      </c>
      <c r="G119" s="9">
        <v>6</v>
      </c>
      <c r="H119" s="8">
        <v>2.2075239999999999E-2</v>
      </c>
      <c r="I119" s="8">
        <v>1.5590461571262071E-2</v>
      </c>
      <c r="J119" s="9">
        <v>-0.66229148756778189</v>
      </c>
      <c r="K119" s="4" t="s">
        <v>149</v>
      </c>
    </row>
    <row r="120" spans="1:11" x14ac:dyDescent="0.3">
      <c r="A120" s="4">
        <v>126000</v>
      </c>
      <c r="B120" s="4" t="s">
        <v>21</v>
      </c>
      <c r="C120" s="8">
        <v>1.3695759999999999</v>
      </c>
      <c r="D120" s="9">
        <v>10.5</v>
      </c>
      <c r="E120" s="8">
        <v>3.8824659999999997E-2</v>
      </c>
      <c r="F120" s="8">
        <v>53.809854697784431</v>
      </c>
      <c r="G120" s="9">
        <v>6.25</v>
      </c>
      <c r="H120" s="8">
        <v>2.1630090000000001E-2</v>
      </c>
      <c r="I120" s="8">
        <v>1.5170545069825519E-2</v>
      </c>
      <c r="J120" s="9">
        <v>-0.7072554874642657</v>
      </c>
      <c r="K120" s="4" t="s">
        <v>150</v>
      </c>
    </row>
    <row r="121" spans="1:11" x14ac:dyDescent="0.3">
      <c r="A121" s="4">
        <v>126000</v>
      </c>
      <c r="B121" s="4" t="s">
        <v>23</v>
      </c>
      <c r="C121" s="8">
        <v>1.3695759999999999</v>
      </c>
      <c r="D121" s="9">
        <v>10.5</v>
      </c>
      <c r="E121" s="8">
        <v>3.8824659999999997E-2</v>
      </c>
      <c r="F121" s="8">
        <v>55.525846786539113</v>
      </c>
      <c r="G121" s="9">
        <v>6.25</v>
      </c>
      <c r="H121" s="8">
        <v>2.1164720000000001E-2</v>
      </c>
      <c r="I121" s="8">
        <v>1.4791546820017661E-2</v>
      </c>
      <c r="J121" s="9">
        <v>-0.74877056216887938</v>
      </c>
      <c r="K121" s="4" t="s">
        <v>151</v>
      </c>
    </row>
    <row r="122" spans="1:11" x14ac:dyDescent="0.3">
      <c r="A122" s="4">
        <v>126000</v>
      </c>
      <c r="B122" s="4" t="s">
        <v>25</v>
      </c>
      <c r="C122" s="8">
        <v>1.3695759999999999</v>
      </c>
      <c r="D122" s="9">
        <v>10.5</v>
      </c>
      <c r="E122" s="8">
        <v>3.8824659999999997E-2</v>
      </c>
      <c r="F122" s="8">
        <v>57.022448594973213</v>
      </c>
      <c r="G122" s="9">
        <v>6</v>
      </c>
      <c r="H122" s="8">
        <v>2.048146E-2</v>
      </c>
      <c r="I122" s="8">
        <v>1.435938096919271E-2</v>
      </c>
      <c r="J122" s="9">
        <v>-0.79789745896109709</v>
      </c>
      <c r="K122" s="4" t="s">
        <v>152</v>
      </c>
    </row>
    <row r="123" spans="1:11" x14ac:dyDescent="0.3">
      <c r="A123" s="4">
        <v>126000</v>
      </c>
      <c r="B123" s="4" t="s">
        <v>27</v>
      </c>
      <c r="C123" s="8">
        <v>1.3695759999999999</v>
      </c>
      <c r="D123" s="9">
        <v>10.5</v>
      </c>
      <c r="E123" s="8">
        <v>3.8824659999999997E-2</v>
      </c>
      <c r="F123" s="8">
        <v>58.65941654847731</v>
      </c>
      <c r="G123" s="9">
        <v>5.25</v>
      </c>
      <c r="H123" s="8">
        <v>1.8980839999999999E-2</v>
      </c>
      <c r="I123" s="8">
        <v>1.3857196782457139E-2</v>
      </c>
      <c r="J123" s="9">
        <v>-0.85847756475213799</v>
      </c>
      <c r="K123" s="4" t="s">
        <v>153</v>
      </c>
    </row>
    <row r="124" spans="1:11" x14ac:dyDescent="0.3">
      <c r="A124" s="4">
        <v>126000</v>
      </c>
      <c r="B124" s="4" t="s">
        <v>29</v>
      </c>
      <c r="C124" s="8">
        <v>1.3695759999999999</v>
      </c>
      <c r="D124" s="9">
        <v>10.5</v>
      </c>
      <c r="E124" s="8">
        <v>3.8824659999999997E-2</v>
      </c>
      <c r="F124" s="8">
        <v>59.294909371655372</v>
      </c>
      <c r="G124" s="9">
        <v>5</v>
      </c>
      <c r="H124" s="8">
        <v>1.8509109999999999E-2</v>
      </c>
      <c r="I124" s="8">
        <v>1.3624168583096591E-2</v>
      </c>
      <c r="J124" s="9">
        <v>-0.88876065340909116</v>
      </c>
      <c r="K124" s="4" t="s">
        <v>154</v>
      </c>
    </row>
    <row r="125" spans="1:11" x14ac:dyDescent="0.3">
      <c r="A125" s="4">
        <v>126000</v>
      </c>
      <c r="B125" s="4" t="s">
        <v>31</v>
      </c>
      <c r="C125" s="8">
        <v>1.3695759999999999</v>
      </c>
      <c r="D125" s="9">
        <v>10.5</v>
      </c>
      <c r="E125" s="8">
        <v>3.8824659999999997E-2</v>
      </c>
      <c r="F125" s="8">
        <v>59.817190122613063</v>
      </c>
      <c r="G125" s="9">
        <v>4.5</v>
      </c>
      <c r="H125" s="8">
        <v>1.7617210000000001E-2</v>
      </c>
      <c r="I125" s="8">
        <v>1.3412670760866951E-2</v>
      </c>
      <c r="J125" s="9">
        <v>-0.91787912759066848</v>
      </c>
      <c r="K125" s="4" t="s">
        <v>155</v>
      </c>
    </row>
    <row r="126" spans="1:11" x14ac:dyDescent="0.3">
      <c r="A126" s="4">
        <v>126000</v>
      </c>
      <c r="B126" s="4" t="s">
        <v>33</v>
      </c>
      <c r="C126" s="8">
        <v>1.3695759999999999</v>
      </c>
      <c r="D126" s="9">
        <v>10.5</v>
      </c>
      <c r="E126" s="8">
        <v>3.8824659999999997E-2</v>
      </c>
      <c r="F126" s="8">
        <v>60.287444327922472</v>
      </c>
      <c r="G126" s="9">
        <v>3.75</v>
      </c>
      <c r="H126" s="8">
        <v>1.6410830000000001E-2</v>
      </c>
      <c r="I126" s="8">
        <v>1.3049888825216269E-2</v>
      </c>
      <c r="J126" s="9">
        <v>-0.97204429518958846</v>
      </c>
      <c r="K126" s="4" t="s">
        <v>156</v>
      </c>
    </row>
    <row r="127" spans="1:11" x14ac:dyDescent="0.3">
      <c r="A127" s="4">
        <v>126000</v>
      </c>
      <c r="B127" s="4" t="s">
        <v>35</v>
      </c>
      <c r="C127" s="8">
        <v>1.3695759999999999</v>
      </c>
      <c r="D127" s="9">
        <v>10.5</v>
      </c>
      <c r="E127" s="8">
        <v>3.8824659999999997E-2</v>
      </c>
      <c r="F127" s="8">
        <v>60.322061492158113</v>
      </c>
      <c r="G127" s="9">
        <v>3.5</v>
      </c>
      <c r="H127" s="8">
        <v>1.607457E-2</v>
      </c>
      <c r="I127" s="8">
        <v>1.288633011686144E-2</v>
      </c>
      <c r="J127" s="9">
        <v>-0.99847364655378035</v>
      </c>
      <c r="K127" s="4" t="s">
        <v>157</v>
      </c>
    </row>
    <row r="128" spans="1:11" x14ac:dyDescent="0.3">
      <c r="A128" s="4">
        <v>126000</v>
      </c>
      <c r="B128" s="4" t="s">
        <v>37</v>
      </c>
      <c r="C128" s="8">
        <v>1.3695759999999999</v>
      </c>
      <c r="D128" s="9">
        <v>10.5</v>
      </c>
      <c r="E128" s="8">
        <v>3.8824659999999997E-2</v>
      </c>
      <c r="F128" s="8">
        <v>60.22856932603451</v>
      </c>
      <c r="G128" s="9">
        <v>3.25</v>
      </c>
      <c r="H128" s="8">
        <v>1.5763269999999999E-2</v>
      </c>
      <c r="I128" s="8">
        <v>1.2732305388647121E-2</v>
      </c>
      <c r="J128" s="9">
        <v>-1.025244013833102</v>
      </c>
      <c r="K128" s="4" t="s">
        <v>158</v>
      </c>
    </row>
    <row r="129" spans="1:11" x14ac:dyDescent="0.3">
      <c r="A129" s="4">
        <v>126000</v>
      </c>
      <c r="B129" s="4" t="s">
        <v>39</v>
      </c>
      <c r="C129" s="8">
        <v>1.3695759999999999</v>
      </c>
      <c r="D129" s="9">
        <v>10.5</v>
      </c>
      <c r="E129" s="8">
        <v>3.8824659999999997E-2</v>
      </c>
      <c r="F129" s="8">
        <v>59.63157404419885</v>
      </c>
      <c r="G129" s="9">
        <v>4.25</v>
      </c>
      <c r="H129" s="8">
        <v>1.7604080000000001E-2</v>
      </c>
      <c r="I129" s="8">
        <v>1.2457346516598199E-2</v>
      </c>
      <c r="J129" s="9">
        <v>-1.0790912623515041</v>
      </c>
      <c r="K129" s="4" t="s">
        <v>159</v>
      </c>
    </row>
    <row r="130" spans="1:11" x14ac:dyDescent="0.3">
      <c r="A130" s="4">
        <v>126000</v>
      </c>
      <c r="B130" s="4" t="s">
        <v>41</v>
      </c>
      <c r="C130" s="8">
        <v>1.3695759999999999</v>
      </c>
      <c r="D130" s="9">
        <v>10.5</v>
      </c>
      <c r="E130" s="8">
        <v>3.8824659999999997E-2</v>
      </c>
      <c r="F130" s="8">
        <v>59.63157404419885</v>
      </c>
      <c r="G130" s="9">
        <v>4.25</v>
      </c>
      <c r="H130" s="8">
        <v>1.7604080000000001E-2</v>
      </c>
      <c r="I130" s="8">
        <v>1.2344115576685249E-2</v>
      </c>
      <c r="J130" s="9">
        <v>-1.1054730869680309</v>
      </c>
      <c r="K130" s="4" t="s">
        <v>160</v>
      </c>
    </row>
    <row r="131" spans="1:11" x14ac:dyDescent="0.3">
      <c r="A131" s="4">
        <v>126000</v>
      </c>
      <c r="B131" s="4" t="s">
        <v>43</v>
      </c>
      <c r="C131" s="8">
        <v>1.3695759999999999</v>
      </c>
      <c r="D131" s="9">
        <v>10.5</v>
      </c>
      <c r="E131" s="8">
        <v>3.8824659999999997E-2</v>
      </c>
      <c r="F131" s="8">
        <v>59.63157404419885</v>
      </c>
      <c r="G131" s="9">
        <v>4.25</v>
      </c>
      <c r="H131" s="8">
        <v>1.7604080000000001E-2</v>
      </c>
      <c r="I131" s="8">
        <v>1.2254551483930639E-2</v>
      </c>
      <c r="J131" s="9">
        <v>-1.1311428627659359</v>
      </c>
      <c r="K131" s="4" t="s">
        <v>161</v>
      </c>
    </row>
    <row r="132" spans="1:11" x14ac:dyDescent="0.3">
      <c r="A132" s="4">
        <v>126000</v>
      </c>
      <c r="B132" s="4" t="s">
        <v>45</v>
      </c>
      <c r="C132" s="8">
        <v>1.3695759999999999</v>
      </c>
      <c r="D132" s="9">
        <v>10.5</v>
      </c>
      <c r="E132" s="8">
        <v>3.8824659999999997E-2</v>
      </c>
      <c r="F132" s="8">
        <v>59.63157404419885</v>
      </c>
      <c r="G132" s="9">
        <v>4.25</v>
      </c>
      <c r="H132" s="8">
        <v>1.7604080000000001E-2</v>
      </c>
      <c r="I132" s="8">
        <v>1.215065261603244E-2</v>
      </c>
      <c r="J132" s="9">
        <v>-1.184479517734691</v>
      </c>
      <c r="K132" s="4" t="s">
        <v>162</v>
      </c>
    </row>
    <row r="133" spans="1:11" x14ac:dyDescent="0.3">
      <c r="A133" s="4">
        <v>126000</v>
      </c>
      <c r="B133" s="4" t="s">
        <v>47</v>
      </c>
      <c r="C133" s="8">
        <v>1.3695759999999999</v>
      </c>
      <c r="D133" s="9">
        <v>10.5</v>
      </c>
      <c r="E133" s="8">
        <v>3.8824659999999997E-2</v>
      </c>
      <c r="F133" s="8">
        <v>59.63157404419885</v>
      </c>
      <c r="G133" s="9">
        <v>4.25</v>
      </c>
      <c r="H133" s="8">
        <v>1.7604080000000001E-2</v>
      </c>
      <c r="I133" s="8">
        <v>1.214696247905997E-2</v>
      </c>
      <c r="J133" s="9">
        <v>-1.214703715986919</v>
      </c>
      <c r="K133" s="4" t="s">
        <v>163</v>
      </c>
    </row>
    <row r="134" spans="1:11" x14ac:dyDescent="0.3">
      <c r="A134" s="4">
        <v>126000</v>
      </c>
      <c r="B134" s="4" t="s">
        <v>49</v>
      </c>
      <c r="C134" s="8">
        <v>1.3695759999999999</v>
      </c>
      <c r="D134" s="9">
        <v>10.5</v>
      </c>
      <c r="E134" s="8">
        <v>3.8824659999999997E-2</v>
      </c>
      <c r="F134" s="8">
        <v>59.63157404419885</v>
      </c>
      <c r="G134" s="9">
        <v>4.25</v>
      </c>
      <c r="H134" s="8">
        <v>1.7604080000000001E-2</v>
      </c>
      <c r="I134" s="8">
        <v>1.2193368022737461E-2</v>
      </c>
      <c r="J134" s="9">
        <v>-1.2476014887443421</v>
      </c>
      <c r="K134" s="4" t="s">
        <v>164</v>
      </c>
    </row>
    <row r="135" spans="1:11" x14ac:dyDescent="0.3">
      <c r="A135" s="5">
        <v>132000</v>
      </c>
      <c r="B135" s="5" t="s">
        <v>13</v>
      </c>
      <c r="C135" s="6">
        <v>1.3711409999999999</v>
      </c>
      <c r="D135" s="7">
        <v>10.5</v>
      </c>
      <c r="E135" s="6">
        <v>3.8403800000000002E-2</v>
      </c>
      <c r="F135" s="6">
        <v>61.049406357717338</v>
      </c>
      <c r="G135" s="7">
        <v>4</v>
      </c>
      <c r="H135" s="6">
        <v>1.6814840000000001E-2</v>
      </c>
      <c r="I135" s="6">
        <v>1.3948651783344529E-2</v>
      </c>
      <c r="J135" s="7">
        <v>-1.365106667849284</v>
      </c>
      <c r="K135" s="5" t="s">
        <v>165</v>
      </c>
    </row>
    <row r="136" spans="1:11" x14ac:dyDescent="0.3">
      <c r="A136" s="4">
        <v>132000</v>
      </c>
      <c r="B136" s="4" t="s">
        <v>15</v>
      </c>
      <c r="C136" s="8">
        <v>1.3627530000000001</v>
      </c>
      <c r="D136" s="9">
        <v>11.25</v>
      </c>
      <c r="E136" s="8">
        <v>4.6361699999999999E-2</v>
      </c>
      <c r="F136" s="8">
        <v>46.056844123270317</v>
      </c>
      <c r="G136" s="9">
        <v>5.5</v>
      </c>
      <c r="H136" s="8">
        <v>2.307644E-2</v>
      </c>
      <c r="I136" s="8">
        <v>1.6090482565275989E-2</v>
      </c>
      <c r="J136" s="9">
        <v>-0.59629966286143732</v>
      </c>
      <c r="K136" s="4" t="s">
        <v>166</v>
      </c>
    </row>
    <row r="137" spans="1:11" x14ac:dyDescent="0.3">
      <c r="A137" s="4">
        <v>132000</v>
      </c>
      <c r="B137" s="4" t="s">
        <v>17</v>
      </c>
      <c r="C137" s="8">
        <v>1.371119</v>
      </c>
      <c r="D137" s="9">
        <v>10.75</v>
      </c>
      <c r="E137" s="8">
        <v>4.0628119999999997E-2</v>
      </c>
      <c r="F137" s="8">
        <v>49.091763834442922</v>
      </c>
      <c r="G137" s="9">
        <v>5.75</v>
      </c>
      <c r="H137" s="8">
        <v>2.2356520000000001E-2</v>
      </c>
      <c r="I137" s="8">
        <v>1.5721640287504689E-2</v>
      </c>
      <c r="J137" s="9">
        <v>-0.63373339717699972</v>
      </c>
      <c r="K137" s="4" t="s">
        <v>167</v>
      </c>
    </row>
    <row r="138" spans="1:11" x14ac:dyDescent="0.3">
      <c r="A138" s="4">
        <v>132000</v>
      </c>
      <c r="B138" s="4" t="s">
        <v>19</v>
      </c>
      <c r="C138" s="8">
        <v>1.3711409999999999</v>
      </c>
      <c r="D138" s="9">
        <v>10.5</v>
      </c>
      <c r="E138" s="8">
        <v>3.8403800000000002E-2</v>
      </c>
      <c r="F138" s="8">
        <v>52.259584859134129</v>
      </c>
      <c r="G138" s="9">
        <v>6</v>
      </c>
      <c r="H138" s="8">
        <v>2.1671679999999999E-2</v>
      </c>
      <c r="I138" s="8">
        <v>1.5302684184441419E-2</v>
      </c>
      <c r="J138" s="9">
        <v>-0.67802411939015494</v>
      </c>
      <c r="K138" s="4" t="s">
        <v>168</v>
      </c>
    </row>
    <row r="139" spans="1:11" x14ac:dyDescent="0.3">
      <c r="A139" s="4">
        <v>132000</v>
      </c>
      <c r="B139" s="4" t="s">
        <v>21</v>
      </c>
      <c r="C139" s="8">
        <v>1.3711409999999999</v>
      </c>
      <c r="D139" s="9">
        <v>10.5</v>
      </c>
      <c r="E139" s="8">
        <v>3.8403800000000002E-2</v>
      </c>
      <c r="F139" s="8">
        <v>55.003567412791597</v>
      </c>
      <c r="G139" s="9">
        <v>6.25</v>
      </c>
      <c r="H139" s="8">
        <v>2.121986E-2</v>
      </c>
      <c r="I139" s="8">
        <v>1.4882658929655439E-2</v>
      </c>
      <c r="J139" s="9">
        <v>-0.723731173477141</v>
      </c>
      <c r="K139" s="4" t="s">
        <v>169</v>
      </c>
    </row>
    <row r="140" spans="1:11" x14ac:dyDescent="0.3">
      <c r="A140" s="4">
        <v>132000</v>
      </c>
      <c r="B140" s="4" t="s">
        <v>23</v>
      </c>
      <c r="C140" s="8">
        <v>1.3711409999999999</v>
      </c>
      <c r="D140" s="9">
        <v>10.5</v>
      </c>
      <c r="E140" s="8">
        <v>3.8403800000000002E-2</v>
      </c>
      <c r="F140" s="8">
        <v>56.764899427599147</v>
      </c>
      <c r="G140" s="9">
        <v>6.25</v>
      </c>
      <c r="H140" s="8">
        <v>2.0758180000000001E-2</v>
      </c>
      <c r="I140" s="8">
        <v>1.4503862095313709E-2</v>
      </c>
      <c r="J140" s="9">
        <v>-0.76604880878426485</v>
      </c>
      <c r="K140" s="4" t="s">
        <v>170</v>
      </c>
    </row>
    <row r="141" spans="1:11" x14ac:dyDescent="0.3">
      <c r="A141" s="4">
        <v>132000</v>
      </c>
      <c r="B141" s="4" t="s">
        <v>25</v>
      </c>
      <c r="C141" s="8">
        <v>1.3711409999999999</v>
      </c>
      <c r="D141" s="9">
        <v>10.5</v>
      </c>
      <c r="E141" s="8">
        <v>3.8403800000000002E-2</v>
      </c>
      <c r="F141" s="8">
        <v>58.252519452552093</v>
      </c>
      <c r="G141" s="9">
        <v>6</v>
      </c>
      <c r="H141" s="8">
        <v>2.009762E-2</v>
      </c>
      <c r="I141" s="8">
        <v>1.407261663559544E-2</v>
      </c>
      <c r="J141" s="9">
        <v>-0.8158661633100468</v>
      </c>
      <c r="K141" s="4" t="s">
        <v>171</v>
      </c>
    </row>
    <row r="142" spans="1:11" x14ac:dyDescent="0.3">
      <c r="A142" s="4">
        <v>132000</v>
      </c>
      <c r="B142" s="4" t="s">
        <v>27</v>
      </c>
      <c r="C142" s="8">
        <v>1.3711409999999999</v>
      </c>
      <c r="D142" s="9">
        <v>10.5</v>
      </c>
      <c r="E142" s="8">
        <v>3.8403800000000002E-2</v>
      </c>
      <c r="F142" s="8">
        <v>59.904833888755277</v>
      </c>
      <c r="G142" s="9">
        <v>5.25</v>
      </c>
      <c r="H142" s="8">
        <v>1.8628479999999999E-2</v>
      </c>
      <c r="I142" s="8">
        <v>1.357282046960385E-2</v>
      </c>
      <c r="J142" s="9">
        <v>-0.87703303118260356</v>
      </c>
      <c r="K142" s="4" t="s">
        <v>172</v>
      </c>
    </row>
    <row r="143" spans="1:11" x14ac:dyDescent="0.3">
      <c r="A143" s="4">
        <v>132000</v>
      </c>
      <c r="B143" s="4" t="s">
        <v>29</v>
      </c>
      <c r="C143" s="8">
        <v>1.3711409999999999</v>
      </c>
      <c r="D143" s="9">
        <v>10.5</v>
      </c>
      <c r="E143" s="8">
        <v>3.8403800000000002E-2</v>
      </c>
      <c r="F143" s="8">
        <v>60.55298494074799</v>
      </c>
      <c r="G143" s="9">
        <v>4.75</v>
      </c>
      <c r="H143" s="8">
        <v>1.7725979999999999E-2</v>
      </c>
      <c r="I143" s="8">
        <v>1.3340960469872321E-2</v>
      </c>
      <c r="J143" s="9">
        <v>-0.90752062047035675</v>
      </c>
      <c r="K143" s="4" t="s">
        <v>173</v>
      </c>
    </row>
    <row r="144" spans="1:11" x14ac:dyDescent="0.3">
      <c r="A144" s="4">
        <v>132000</v>
      </c>
      <c r="B144" s="4" t="s">
        <v>31</v>
      </c>
      <c r="C144" s="8">
        <v>1.3711409999999999</v>
      </c>
      <c r="D144" s="9">
        <v>10.5</v>
      </c>
      <c r="E144" s="8">
        <v>3.8403800000000002E-2</v>
      </c>
      <c r="F144" s="8">
        <v>61.093834778876449</v>
      </c>
      <c r="G144" s="9">
        <v>4.5</v>
      </c>
      <c r="H144" s="8">
        <v>1.728762E-2</v>
      </c>
      <c r="I144" s="8">
        <v>1.3130159540050231E-2</v>
      </c>
      <c r="J144" s="9">
        <v>-0.93686288297338027</v>
      </c>
      <c r="K144" s="4" t="s">
        <v>174</v>
      </c>
    </row>
    <row r="145" spans="1:11" x14ac:dyDescent="0.3">
      <c r="A145" s="4">
        <v>132000</v>
      </c>
      <c r="B145" s="4" t="s">
        <v>33</v>
      </c>
      <c r="C145" s="8">
        <v>1.3711409999999999</v>
      </c>
      <c r="D145" s="9">
        <v>10.5</v>
      </c>
      <c r="E145" s="8">
        <v>3.8403800000000002E-2</v>
      </c>
      <c r="F145" s="8">
        <v>61.607589510372208</v>
      </c>
      <c r="G145" s="9">
        <v>3.75</v>
      </c>
      <c r="H145" s="8">
        <v>1.60959E-2</v>
      </c>
      <c r="I145" s="8">
        <v>1.2767278107736179E-2</v>
      </c>
      <c r="J145" s="9">
        <v>-0.99155182385672413</v>
      </c>
      <c r="K145" s="4" t="s">
        <v>175</v>
      </c>
    </row>
    <row r="146" spans="1:11" x14ac:dyDescent="0.3">
      <c r="A146" s="4">
        <v>132000</v>
      </c>
      <c r="B146" s="4" t="s">
        <v>35</v>
      </c>
      <c r="C146" s="8">
        <v>1.3711409999999999</v>
      </c>
      <c r="D146" s="9">
        <v>10.5</v>
      </c>
      <c r="E146" s="8">
        <v>3.8403800000000002E-2</v>
      </c>
      <c r="F146" s="8">
        <v>61.642523628254708</v>
      </c>
      <c r="G146" s="9">
        <v>3.5</v>
      </c>
      <c r="H146" s="8">
        <v>1.5767139999999999E-2</v>
      </c>
      <c r="I146" s="8">
        <v>1.2603181064016301E-2</v>
      </c>
      <c r="J146" s="9">
        <v>-1.0185008025553679</v>
      </c>
      <c r="K146" s="4" t="s">
        <v>176</v>
      </c>
    </row>
    <row r="147" spans="1:11" x14ac:dyDescent="0.3">
      <c r="A147" s="4">
        <v>132000</v>
      </c>
      <c r="B147" s="4" t="s">
        <v>37</v>
      </c>
      <c r="C147" s="8">
        <v>1.3711409999999999</v>
      </c>
      <c r="D147" s="9">
        <v>10.5</v>
      </c>
      <c r="E147" s="8">
        <v>3.8403800000000002E-2</v>
      </c>
      <c r="F147" s="8">
        <v>61.59509693745445</v>
      </c>
      <c r="G147" s="9">
        <v>3</v>
      </c>
      <c r="H147" s="8">
        <v>1.4984920000000001E-2</v>
      </c>
      <c r="I147" s="8">
        <v>1.2448142178710771E-2</v>
      </c>
      <c r="J147" s="9">
        <v>-1.0456291739473871</v>
      </c>
      <c r="K147" s="4" t="s">
        <v>177</v>
      </c>
    </row>
    <row r="148" spans="1:11" x14ac:dyDescent="0.3">
      <c r="A148" s="4">
        <v>132000</v>
      </c>
      <c r="B148" s="4" t="s">
        <v>39</v>
      </c>
      <c r="C148" s="8">
        <v>1.3711409999999999</v>
      </c>
      <c r="D148" s="9">
        <v>10.5</v>
      </c>
      <c r="E148" s="8">
        <v>3.8403800000000002E-2</v>
      </c>
      <c r="F148" s="8">
        <v>61.049406357717338</v>
      </c>
      <c r="G148" s="9">
        <v>4</v>
      </c>
      <c r="H148" s="8">
        <v>1.6814840000000001E-2</v>
      </c>
      <c r="I148" s="8">
        <v>1.2169368012309299E-2</v>
      </c>
      <c r="J148" s="9">
        <v>-1.100316456951147</v>
      </c>
      <c r="K148" s="4" t="s">
        <v>178</v>
      </c>
    </row>
    <row r="149" spans="1:11" x14ac:dyDescent="0.3">
      <c r="A149" s="4">
        <v>132000</v>
      </c>
      <c r="B149" s="4" t="s">
        <v>41</v>
      </c>
      <c r="C149" s="8">
        <v>1.3711409999999999</v>
      </c>
      <c r="D149" s="9">
        <v>10.5</v>
      </c>
      <c r="E149" s="8">
        <v>3.8403800000000002E-2</v>
      </c>
      <c r="F149" s="8">
        <v>61.049406357717338</v>
      </c>
      <c r="G149" s="9">
        <v>4</v>
      </c>
      <c r="H149" s="8">
        <v>1.6814840000000001E-2</v>
      </c>
      <c r="I149" s="8">
        <v>1.2053240584274989E-2</v>
      </c>
      <c r="J149" s="9">
        <v>-1.1271770051363099</v>
      </c>
      <c r="K149" s="4" t="s">
        <v>179</v>
      </c>
    </row>
    <row r="150" spans="1:11" x14ac:dyDescent="0.3">
      <c r="A150" s="4">
        <v>132000</v>
      </c>
      <c r="B150" s="4" t="s">
        <v>43</v>
      </c>
      <c r="C150" s="8">
        <v>1.3711409999999999</v>
      </c>
      <c r="D150" s="9">
        <v>10.5</v>
      </c>
      <c r="E150" s="8">
        <v>3.8403800000000002E-2</v>
      </c>
      <c r="F150" s="8">
        <v>61.049406357717338</v>
      </c>
      <c r="G150" s="9">
        <v>4</v>
      </c>
      <c r="H150" s="8">
        <v>1.6814840000000001E-2</v>
      </c>
      <c r="I150" s="8">
        <v>1.1960276719332761E-2</v>
      </c>
      <c r="J150" s="9">
        <v>-1.1532713038004561</v>
      </c>
      <c r="K150" s="4" t="s">
        <v>180</v>
      </c>
    </row>
    <row r="151" spans="1:11" x14ac:dyDescent="0.3">
      <c r="A151" s="4">
        <v>132000</v>
      </c>
      <c r="B151" s="4" t="s">
        <v>45</v>
      </c>
      <c r="C151" s="8">
        <v>1.3711409999999999</v>
      </c>
      <c r="D151" s="9">
        <v>10.5</v>
      </c>
      <c r="E151" s="8">
        <v>3.8403800000000002E-2</v>
      </c>
      <c r="F151" s="8">
        <v>61.049406357717338</v>
      </c>
      <c r="G151" s="9">
        <v>4</v>
      </c>
      <c r="H151" s="8">
        <v>1.6814840000000001E-2</v>
      </c>
      <c r="I151" s="8">
        <v>1.1847395790714589E-2</v>
      </c>
      <c r="J151" s="9">
        <v>-1.2071465254623051</v>
      </c>
      <c r="K151" s="4" t="s">
        <v>181</v>
      </c>
    </row>
    <row r="152" spans="1:11" x14ac:dyDescent="0.3">
      <c r="A152" s="4">
        <v>132000</v>
      </c>
      <c r="B152" s="4" t="s">
        <v>47</v>
      </c>
      <c r="C152" s="8">
        <v>1.3711409999999999</v>
      </c>
      <c r="D152" s="9">
        <v>10.5</v>
      </c>
      <c r="E152" s="8">
        <v>3.8403800000000002E-2</v>
      </c>
      <c r="F152" s="8">
        <v>61.049406357717338</v>
      </c>
      <c r="G152" s="9">
        <v>4</v>
      </c>
      <c r="H152" s="8">
        <v>1.6814840000000001E-2</v>
      </c>
      <c r="I152" s="8">
        <v>1.183792900227265E-2</v>
      </c>
      <c r="J152" s="9">
        <v>-1.237432910571866</v>
      </c>
      <c r="K152" s="4" t="s">
        <v>182</v>
      </c>
    </row>
    <row r="153" spans="1:11" x14ac:dyDescent="0.3">
      <c r="A153" s="4">
        <v>132000</v>
      </c>
      <c r="B153" s="4" t="s">
        <v>49</v>
      </c>
      <c r="C153" s="8">
        <v>1.3711409999999999</v>
      </c>
      <c r="D153" s="9">
        <v>10.5</v>
      </c>
      <c r="E153" s="8">
        <v>3.8403800000000002E-2</v>
      </c>
      <c r="F153" s="8">
        <v>61.049406357717338</v>
      </c>
      <c r="G153" s="9">
        <v>4</v>
      </c>
      <c r="H153" s="8">
        <v>1.6814840000000001E-2</v>
      </c>
      <c r="I153" s="8">
        <v>1.187752785392231E-2</v>
      </c>
      <c r="J153" s="9">
        <v>-1.270554589178202</v>
      </c>
      <c r="K153" s="4" t="s">
        <v>183</v>
      </c>
    </row>
    <row r="154" spans="1:11" x14ac:dyDescent="0.3">
      <c r="A154" s="5">
        <v>165000</v>
      </c>
      <c r="B154" s="5" t="s">
        <v>13</v>
      </c>
      <c r="C154" s="6">
        <v>1.384817</v>
      </c>
      <c r="D154" s="7">
        <v>10.5</v>
      </c>
      <c r="E154" s="6">
        <v>3.6417720000000001E-2</v>
      </c>
      <c r="F154" s="6">
        <v>67.541356310503232</v>
      </c>
      <c r="G154" s="7">
        <v>2.75</v>
      </c>
      <c r="H154" s="6">
        <v>1.3485850000000001E-2</v>
      </c>
      <c r="I154" s="6">
        <v>1.1579610039676599E-2</v>
      </c>
      <c r="J154" s="7">
        <v>-1.4990058855096819</v>
      </c>
      <c r="K154" s="5" t="s">
        <v>184</v>
      </c>
    </row>
    <row r="155" spans="1:11" x14ac:dyDescent="0.3">
      <c r="A155" s="4">
        <v>165000</v>
      </c>
      <c r="B155" s="4" t="s">
        <v>15</v>
      </c>
      <c r="C155" s="8">
        <v>1.381737</v>
      </c>
      <c r="D155" s="9">
        <v>10.75</v>
      </c>
      <c r="E155" s="8">
        <v>3.8995830000000002E-2</v>
      </c>
      <c r="F155" s="8">
        <v>49.922268206301673</v>
      </c>
      <c r="G155" s="9">
        <v>5.5</v>
      </c>
      <c r="H155" s="8">
        <v>2.1509859999999999E-2</v>
      </c>
      <c r="I155" s="8">
        <v>1.4949369524537039E-2</v>
      </c>
      <c r="J155" s="9">
        <v>-0.65003861457616285</v>
      </c>
      <c r="K155" s="4" t="s">
        <v>185</v>
      </c>
    </row>
    <row r="156" spans="1:11" x14ac:dyDescent="0.3">
      <c r="A156" s="4">
        <v>165000</v>
      </c>
      <c r="B156" s="4" t="s">
        <v>17</v>
      </c>
      <c r="C156" s="8">
        <v>1.384817</v>
      </c>
      <c r="D156" s="9">
        <v>10.5</v>
      </c>
      <c r="E156" s="8">
        <v>3.6417720000000001E-2</v>
      </c>
      <c r="F156" s="8">
        <v>53.408825016249011</v>
      </c>
      <c r="G156" s="9">
        <v>5.75</v>
      </c>
      <c r="H156" s="8">
        <v>2.0770500000000001E-2</v>
      </c>
      <c r="I156" s="8">
        <v>1.458323766933382E-2</v>
      </c>
      <c r="J156" s="9">
        <v>-0.68862767790979429</v>
      </c>
      <c r="K156" s="4" t="s">
        <v>186</v>
      </c>
    </row>
    <row r="157" spans="1:11" x14ac:dyDescent="0.3">
      <c r="A157" s="4">
        <v>165000</v>
      </c>
      <c r="B157" s="4" t="s">
        <v>19</v>
      </c>
      <c r="C157" s="8">
        <v>1.384817</v>
      </c>
      <c r="D157" s="9">
        <v>10.5</v>
      </c>
      <c r="E157" s="8">
        <v>3.6417720000000001E-2</v>
      </c>
      <c r="F157" s="8">
        <v>57.046535292851402</v>
      </c>
      <c r="G157" s="9">
        <v>6.25</v>
      </c>
      <c r="H157" s="8">
        <v>2.0440400000000001E-2</v>
      </c>
      <c r="I157" s="8">
        <v>1.4166418546154099E-2</v>
      </c>
      <c r="J157" s="9">
        <v>-0.73471000776949424</v>
      </c>
      <c r="K157" s="4" t="s">
        <v>187</v>
      </c>
    </row>
    <row r="158" spans="1:11" x14ac:dyDescent="0.3">
      <c r="A158" s="4">
        <v>165000</v>
      </c>
      <c r="B158" s="4" t="s">
        <v>21</v>
      </c>
      <c r="C158" s="8">
        <v>1.384817</v>
      </c>
      <c r="D158" s="9">
        <v>10.5</v>
      </c>
      <c r="E158" s="8">
        <v>3.6417720000000001E-2</v>
      </c>
      <c r="F158" s="8">
        <v>60.203580523698939</v>
      </c>
      <c r="G158" s="9">
        <v>6.5</v>
      </c>
      <c r="H158" s="8">
        <v>1.995574E-2</v>
      </c>
      <c r="I158" s="8">
        <v>1.3747809715586831E-2</v>
      </c>
      <c r="J158" s="9">
        <v>-0.78294659490788665</v>
      </c>
      <c r="K158" s="4" t="s">
        <v>188</v>
      </c>
    </row>
    <row r="159" spans="1:11" x14ac:dyDescent="0.3">
      <c r="A159" s="4">
        <v>165000</v>
      </c>
      <c r="B159" s="4" t="s">
        <v>23</v>
      </c>
      <c r="C159" s="8">
        <v>1.384817</v>
      </c>
      <c r="D159" s="9">
        <v>10.5</v>
      </c>
      <c r="E159" s="8">
        <v>3.6417720000000001E-2</v>
      </c>
      <c r="F159" s="8">
        <v>62.170865714046968</v>
      </c>
      <c r="G159" s="9">
        <v>6.25</v>
      </c>
      <c r="H159" s="8">
        <v>1.91472E-2</v>
      </c>
      <c r="I159" s="8">
        <v>1.336916371661764E-2</v>
      </c>
      <c r="J159" s="9">
        <v>-0.82780119315419531</v>
      </c>
      <c r="K159" s="4" t="s">
        <v>189</v>
      </c>
    </row>
    <row r="160" spans="1:11" x14ac:dyDescent="0.3">
      <c r="A160" s="4">
        <v>165000</v>
      </c>
      <c r="B160" s="4" t="s">
        <v>25</v>
      </c>
      <c r="C160" s="8">
        <v>1.384817</v>
      </c>
      <c r="D160" s="9">
        <v>10.5</v>
      </c>
      <c r="E160" s="8">
        <v>3.6417720000000001E-2</v>
      </c>
      <c r="F160" s="8">
        <v>63.646465002068283</v>
      </c>
      <c r="G160" s="9">
        <v>5.75</v>
      </c>
      <c r="H160" s="8">
        <v>1.8179359999999999E-2</v>
      </c>
      <c r="I160" s="8">
        <v>1.2942509488287511E-2</v>
      </c>
      <c r="J160" s="9">
        <v>-0.87977029667282425</v>
      </c>
      <c r="K160" s="4" t="s">
        <v>190</v>
      </c>
    </row>
    <row r="161" spans="1:11" x14ac:dyDescent="0.3">
      <c r="A161" s="4">
        <v>165000</v>
      </c>
      <c r="B161" s="4" t="s">
        <v>27</v>
      </c>
      <c r="C161" s="8">
        <v>1.384817</v>
      </c>
      <c r="D161" s="9">
        <v>10.5</v>
      </c>
      <c r="E161" s="8">
        <v>3.6417720000000001E-2</v>
      </c>
      <c r="F161" s="8">
        <v>65.336665911963593</v>
      </c>
      <c r="G161" s="9">
        <v>5</v>
      </c>
      <c r="H161" s="8">
        <v>1.6827809999999999E-2</v>
      </c>
      <c r="I161" s="8">
        <v>1.2452900141780051E-2</v>
      </c>
      <c r="J161" s="9">
        <v>-0.94265155483014418</v>
      </c>
      <c r="K161" s="4" t="s">
        <v>191</v>
      </c>
    </row>
    <row r="162" spans="1:11" x14ac:dyDescent="0.3">
      <c r="A162" s="4">
        <v>165000</v>
      </c>
      <c r="B162" s="4" t="s">
        <v>29</v>
      </c>
      <c r="C162" s="8">
        <v>1.384817</v>
      </c>
      <c r="D162" s="9">
        <v>10.5</v>
      </c>
      <c r="E162" s="8">
        <v>3.6417720000000001E-2</v>
      </c>
      <c r="F162" s="8">
        <v>66.037766932060649</v>
      </c>
      <c r="G162" s="9">
        <v>4.75</v>
      </c>
      <c r="H162" s="8">
        <v>1.638947E-2</v>
      </c>
      <c r="I162" s="8">
        <v>1.222583689860425E-2</v>
      </c>
      <c r="J162" s="9">
        <v>-0.97379336959420704</v>
      </c>
      <c r="K162" s="4" t="s">
        <v>192</v>
      </c>
    </row>
    <row r="163" spans="1:11" x14ac:dyDescent="0.3">
      <c r="A163" s="4">
        <v>165000</v>
      </c>
      <c r="B163" s="4" t="s">
        <v>31</v>
      </c>
      <c r="C163" s="8">
        <v>1.384817</v>
      </c>
      <c r="D163" s="9">
        <v>10.5</v>
      </c>
      <c r="E163" s="8">
        <v>3.6417720000000001E-2</v>
      </c>
      <c r="F163" s="8">
        <v>66.682813632322024</v>
      </c>
      <c r="G163" s="9">
        <v>4.25</v>
      </c>
      <c r="H163" s="8">
        <v>1.556536E-2</v>
      </c>
      <c r="I163" s="8">
        <v>1.201804597248665E-2</v>
      </c>
      <c r="J163" s="9">
        <v>-1.0038604564493521</v>
      </c>
      <c r="K163" s="4" t="s">
        <v>193</v>
      </c>
    </row>
    <row r="164" spans="1:11" x14ac:dyDescent="0.3">
      <c r="A164" s="4">
        <v>165000</v>
      </c>
      <c r="B164" s="4" t="s">
        <v>33</v>
      </c>
      <c r="C164" s="8">
        <v>1.384817</v>
      </c>
      <c r="D164" s="9">
        <v>10.5</v>
      </c>
      <c r="E164" s="8">
        <v>3.6417720000000001E-2</v>
      </c>
      <c r="F164" s="8">
        <v>67.402071975642087</v>
      </c>
      <c r="G164" s="9">
        <v>3.5</v>
      </c>
      <c r="H164" s="8">
        <v>1.4424879999999999E-2</v>
      </c>
      <c r="I164" s="8">
        <v>1.1656779025726731E-2</v>
      </c>
      <c r="J164" s="9">
        <v>-1.060718331699636</v>
      </c>
      <c r="K164" s="4" t="s">
        <v>194</v>
      </c>
    </row>
    <row r="165" spans="1:11" x14ac:dyDescent="0.3">
      <c r="A165" s="4">
        <v>165000</v>
      </c>
      <c r="B165" s="4" t="s">
        <v>35</v>
      </c>
      <c r="C165" s="8">
        <v>1.384817</v>
      </c>
      <c r="D165" s="9">
        <v>10.5</v>
      </c>
      <c r="E165" s="8">
        <v>3.6417720000000001E-2</v>
      </c>
      <c r="F165" s="8">
        <v>67.578861654713961</v>
      </c>
      <c r="G165" s="9">
        <v>3.25</v>
      </c>
      <c r="H165" s="8">
        <v>1.4086059999999999E-2</v>
      </c>
      <c r="I165" s="8">
        <v>1.149071431576883E-2</v>
      </c>
      <c r="J165" s="9">
        <v>-1.0888800179286779</v>
      </c>
      <c r="K165" s="4" t="s">
        <v>195</v>
      </c>
    </row>
    <row r="166" spans="1:11" x14ac:dyDescent="0.3">
      <c r="A166" s="4">
        <v>165000</v>
      </c>
      <c r="B166" s="4" t="s">
        <v>37</v>
      </c>
      <c r="C166" s="8">
        <v>1.384817</v>
      </c>
      <c r="D166" s="9">
        <v>10.5</v>
      </c>
      <c r="E166" s="8">
        <v>3.6417720000000001E-2</v>
      </c>
      <c r="F166" s="8">
        <v>67.648980398482337</v>
      </c>
      <c r="G166" s="9">
        <v>3</v>
      </c>
      <c r="H166" s="8">
        <v>1.376322E-2</v>
      </c>
      <c r="I166" s="8">
        <v>1.133173348770245E-2</v>
      </c>
      <c r="J166" s="9">
        <v>-1.117303312980326</v>
      </c>
      <c r="K166" s="4" t="s">
        <v>196</v>
      </c>
    </row>
    <row r="167" spans="1:11" x14ac:dyDescent="0.3">
      <c r="A167" s="4">
        <v>165000</v>
      </c>
      <c r="B167" s="4" t="s">
        <v>39</v>
      </c>
      <c r="C167" s="8">
        <v>1.384817</v>
      </c>
      <c r="D167" s="9">
        <v>10.5</v>
      </c>
      <c r="E167" s="8">
        <v>3.6417720000000001E-2</v>
      </c>
      <c r="F167" s="8">
        <v>67.541356310503232</v>
      </c>
      <c r="G167" s="9">
        <v>2.75</v>
      </c>
      <c r="H167" s="8">
        <v>1.3485850000000001E-2</v>
      </c>
      <c r="I167" s="8">
        <v>1.103906403470364E-2</v>
      </c>
      <c r="J167" s="9">
        <v>-1.1750374115187889</v>
      </c>
      <c r="K167" s="4" t="s">
        <v>197</v>
      </c>
    </row>
    <row r="168" spans="1:11" x14ac:dyDescent="0.3">
      <c r="A168" s="4">
        <v>165000</v>
      </c>
      <c r="B168" s="4" t="s">
        <v>41</v>
      </c>
      <c r="C168" s="8">
        <v>1.384817</v>
      </c>
      <c r="D168" s="9">
        <v>10.5</v>
      </c>
      <c r="E168" s="8">
        <v>3.6417720000000001E-2</v>
      </c>
      <c r="F168" s="8">
        <v>67.541356310503232</v>
      </c>
      <c r="G168" s="9">
        <v>2.75</v>
      </c>
      <c r="H168" s="8">
        <v>1.3485850000000001E-2</v>
      </c>
      <c r="I168" s="8">
        <v>1.0912209725465451E-2</v>
      </c>
      <c r="J168" s="9">
        <v>-1.203707794256863</v>
      </c>
      <c r="K168" s="4" t="s">
        <v>198</v>
      </c>
    </row>
    <row r="169" spans="1:11" x14ac:dyDescent="0.3">
      <c r="A169" s="4">
        <v>165000</v>
      </c>
      <c r="B169" s="4" t="s">
        <v>43</v>
      </c>
      <c r="C169" s="8">
        <v>1.384817</v>
      </c>
      <c r="D169" s="9">
        <v>10.5</v>
      </c>
      <c r="E169" s="8">
        <v>3.6417720000000001E-2</v>
      </c>
      <c r="F169" s="8">
        <v>67.541356310503232</v>
      </c>
      <c r="G169" s="9">
        <v>2.75</v>
      </c>
      <c r="H169" s="8">
        <v>1.3485850000000001E-2</v>
      </c>
      <c r="I169" s="8">
        <v>1.0806604146813E-2</v>
      </c>
      <c r="J169" s="9">
        <v>-1.23143323627533</v>
      </c>
      <c r="K169" s="4" t="s">
        <v>199</v>
      </c>
    </row>
    <row r="170" spans="1:11" x14ac:dyDescent="0.3">
      <c r="A170" s="4">
        <v>165000</v>
      </c>
      <c r="B170" s="4" t="s">
        <v>45</v>
      </c>
      <c r="C170" s="8">
        <v>1.384817</v>
      </c>
      <c r="D170" s="9">
        <v>10.5</v>
      </c>
      <c r="E170" s="8">
        <v>3.6417720000000001E-2</v>
      </c>
      <c r="F170" s="8">
        <v>67.541356310503232</v>
      </c>
      <c r="G170" s="9">
        <v>2.75</v>
      </c>
      <c r="H170" s="8">
        <v>1.3485850000000001E-2</v>
      </c>
      <c r="I170" s="8">
        <v>1.0661478785788769E-2</v>
      </c>
      <c r="J170" s="9">
        <v>-1.287841094157024</v>
      </c>
      <c r="K170" s="4" t="s">
        <v>200</v>
      </c>
    </row>
    <row r="171" spans="1:11" x14ac:dyDescent="0.3">
      <c r="A171" s="4">
        <v>165000</v>
      </c>
      <c r="B171" s="4" t="s">
        <v>47</v>
      </c>
      <c r="C171" s="8">
        <v>1.384817</v>
      </c>
      <c r="D171" s="9">
        <v>10.5</v>
      </c>
      <c r="E171" s="8">
        <v>3.6417720000000001E-2</v>
      </c>
      <c r="F171" s="8">
        <v>67.541356310503232</v>
      </c>
      <c r="G171" s="9">
        <v>2.75</v>
      </c>
      <c r="H171" s="8">
        <v>1.3485850000000001E-2</v>
      </c>
      <c r="I171" s="8">
        <v>1.0632274409502219E-2</v>
      </c>
      <c r="J171" s="9">
        <v>-1.3186178767269281</v>
      </c>
      <c r="K171" s="4" t="s">
        <v>201</v>
      </c>
    </row>
    <row r="172" spans="1:11" x14ac:dyDescent="0.3">
      <c r="A172" s="4">
        <v>165000</v>
      </c>
      <c r="B172" s="4" t="s">
        <v>49</v>
      </c>
      <c r="C172" s="8">
        <v>1.384817</v>
      </c>
      <c r="D172" s="9">
        <v>10.5</v>
      </c>
      <c r="E172" s="8">
        <v>3.6417720000000001E-2</v>
      </c>
      <c r="F172" s="8">
        <v>67.541356310503232</v>
      </c>
      <c r="G172" s="9">
        <v>2.75</v>
      </c>
      <c r="H172" s="8">
        <v>1.3485850000000001E-2</v>
      </c>
      <c r="I172" s="8">
        <v>1.06442990273471E-2</v>
      </c>
      <c r="J172" s="9">
        <v>-1.3521068446514271</v>
      </c>
      <c r="K172" s="4" t="s">
        <v>202</v>
      </c>
    </row>
    <row r="173" spans="1:11" x14ac:dyDescent="0.3">
      <c r="A173" s="5">
        <v>198000</v>
      </c>
      <c r="B173" s="5" t="s">
        <v>13</v>
      </c>
      <c r="C173" s="6">
        <v>1.394817</v>
      </c>
      <c r="D173" s="7">
        <v>10.5</v>
      </c>
      <c r="E173" s="6">
        <v>3.515857E-2</v>
      </c>
      <c r="F173" s="6">
        <v>72.872473565438469</v>
      </c>
      <c r="G173" s="7">
        <v>2.5</v>
      </c>
      <c r="H173" s="6">
        <v>1.2177240000000001E-2</v>
      </c>
      <c r="I173" s="6">
        <v>1.0259174343488881E-2</v>
      </c>
      <c r="J173" s="7">
        <v>-1.5237521802127969</v>
      </c>
      <c r="K173" s="5" t="s">
        <v>203</v>
      </c>
    </row>
    <row r="174" spans="1:11" x14ac:dyDescent="0.3">
      <c r="A174" s="4">
        <v>198000</v>
      </c>
      <c r="B174" s="4" t="s">
        <v>15</v>
      </c>
      <c r="C174" s="8">
        <v>1.3931500000000001</v>
      </c>
      <c r="D174" s="9">
        <v>10.5</v>
      </c>
      <c r="E174" s="8">
        <v>3.528601E-2</v>
      </c>
      <c r="F174" s="8">
        <v>53.152632403489022</v>
      </c>
      <c r="G174" s="9">
        <v>5.5</v>
      </c>
      <c r="H174" s="8">
        <v>2.0362189999999999E-2</v>
      </c>
      <c r="I174" s="8">
        <v>1.411760801180317E-2</v>
      </c>
      <c r="J174" s="9">
        <v>-0.69171133432112841</v>
      </c>
      <c r="K174" s="4" t="s">
        <v>204</v>
      </c>
    </row>
    <row r="175" spans="1:11" x14ac:dyDescent="0.3">
      <c r="A175" s="4">
        <v>198000</v>
      </c>
      <c r="B175" s="4" t="s">
        <v>17</v>
      </c>
      <c r="C175" s="8">
        <v>1.394817</v>
      </c>
      <c r="D175" s="9">
        <v>10.5</v>
      </c>
      <c r="E175" s="8">
        <v>3.515857E-2</v>
      </c>
      <c r="F175" s="8">
        <v>57.024102198607402</v>
      </c>
      <c r="G175" s="9">
        <v>6</v>
      </c>
      <c r="H175" s="8">
        <v>1.9979920000000002E-2</v>
      </c>
      <c r="I175" s="8">
        <v>1.3758398259216381E-2</v>
      </c>
      <c r="J175" s="9">
        <v>-0.72996489196888181</v>
      </c>
      <c r="K175" s="4" t="s">
        <v>205</v>
      </c>
    </row>
    <row r="176" spans="1:11" x14ac:dyDescent="0.3">
      <c r="A176" s="4">
        <v>198000</v>
      </c>
      <c r="B176" s="4" t="s">
        <v>19</v>
      </c>
      <c r="C176" s="8">
        <v>1.394817</v>
      </c>
      <c r="D176" s="9">
        <v>10.5</v>
      </c>
      <c r="E176" s="8">
        <v>3.515857E-2</v>
      </c>
      <c r="F176" s="8">
        <v>61.047010366665482</v>
      </c>
      <c r="G176" s="9">
        <v>6.25</v>
      </c>
      <c r="H176" s="8">
        <v>1.9257880000000002E-2</v>
      </c>
      <c r="I176" s="8">
        <v>1.3346974777318809E-2</v>
      </c>
      <c r="J176" s="9">
        <v>-0.77632995368631852</v>
      </c>
      <c r="K176" s="4" t="s">
        <v>206</v>
      </c>
    </row>
    <row r="177" spans="1:11" x14ac:dyDescent="0.3">
      <c r="A177" s="4">
        <v>198000</v>
      </c>
      <c r="B177" s="4" t="s">
        <v>21</v>
      </c>
      <c r="C177" s="8">
        <v>1.394817</v>
      </c>
      <c r="D177" s="9">
        <v>10.5</v>
      </c>
      <c r="E177" s="8">
        <v>3.515857E-2</v>
      </c>
      <c r="F177" s="8">
        <v>64.571922144881327</v>
      </c>
      <c r="G177" s="9">
        <v>6.5</v>
      </c>
      <c r="H177" s="8">
        <v>1.875535E-2</v>
      </c>
      <c r="I177" s="8">
        <v>1.2931874261827349E-2</v>
      </c>
      <c r="J177" s="9">
        <v>-0.82524591931524105</v>
      </c>
      <c r="K177" s="4" t="s">
        <v>207</v>
      </c>
    </row>
    <row r="178" spans="1:11" x14ac:dyDescent="0.3">
      <c r="A178" s="4">
        <v>198000</v>
      </c>
      <c r="B178" s="4" t="s">
        <v>23</v>
      </c>
      <c r="C178" s="8">
        <v>1.394817</v>
      </c>
      <c r="D178" s="9">
        <v>10.5</v>
      </c>
      <c r="E178" s="8">
        <v>3.515857E-2</v>
      </c>
      <c r="F178" s="8">
        <v>66.6982576567828</v>
      </c>
      <c r="G178" s="9">
        <v>6.25</v>
      </c>
      <c r="H178" s="8">
        <v>1.7979809999999999E-2</v>
      </c>
      <c r="I178" s="8">
        <v>1.255463201077155E-2</v>
      </c>
      <c r="J178" s="9">
        <v>-0.87098594746290825</v>
      </c>
      <c r="K178" s="4" t="s">
        <v>208</v>
      </c>
    </row>
    <row r="179" spans="1:11" x14ac:dyDescent="0.3">
      <c r="A179" s="4">
        <v>198000</v>
      </c>
      <c r="B179" s="4" t="s">
        <v>25</v>
      </c>
      <c r="C179" s="8">
        <v>1.394817</v>
      </c>
      <c r="D179" s="9">
        <v>10.5</v>
      </c>
      <c r="E179" s="8">
        <v>3.515857E-2</v>
      </c>
      <c r="F179" s="8">
        <v>68.139673408057376</v>
      </c>
      <c r="G179" s="9">
        <v>5.75</v>
      </c>
      <c r="H179" s="8">
        <v>1.7090439999999998E-2</v>
      </c>
      <c r="I179" s="8">
        <v>1.213338061436219E-2</v>
      </c>
      <c r="J179" s="9">
        <v>-0.92355752466514862</v>
      </c>
      <c r="K179" s="4" t="s">
        <v>209</v>
      </c>
    </row>
    <row r="180" spans="1:11" x14ac:dyDescent="0.3">
      <c r="A180" s="4">
        <v>198000</v>
      </c>
      <c r="B180" s="4" t="s">
        <v>27</v>
      </c>
      <c r="C180" s="8">
        <v>1.394817</v>
      </c>
      <c r="D180" s="9">
        <v>10.5</v>
      </c>
      <c r="E180" s="8">
        <v>3.515857E-2</v>
      </c>
      <c r="F180" s="8">
        <v>69.833651069494223</v>
      </c>
      <c r="G180" s="9">
        <v>5</v>
      </c>
      <c r="H180" s="8">
        <v>1.5835990000000001E-2</v>
      </c>
      <c r="I180" s="8">
        <v>1.1652652870865331E-2</v>
      </c>
      <c r="J180" s="9">
        <v>-0.98659750649392874</v>
      </c>
      <c r="K180" s="4" t="s">
        <v>210</v>
      </c>
    </row>
    <row r="181" spans="1:11" x14ac:dyDescent="0.3">
      <c r="A181" s="4">
        <v>198000</v>
      </c>
      <c r="B181" s="4" t="s">
        <v>29</v>
      </c>
      <c r="C181" s="8">
        <v>1.394817</v>
      </c>
      <c r="D181" s="9">
        <v>10.5</v>
      </c>
      <c r="E181" s="8">
        <v>3.515857E-2</v>
      </c>
      <c r="F181" s="8">
        <v>70.590964534151368</v>
      </c>
      <c r="G181" s="9">
        <v>4.5</v>
      </c>
      <c r="H181" s="8">
        <v>1.504405E-2</v>
      </c>
      <c r="I181" s="8">
        <v>1.1430346520492841E-2</v>
      </c>
      <c r="J181" s="9">
        <v>-1.017735282860609</v>
      </c>
      <c r="K181" s="4" t="s">
        <v>211</v>
      </c>
    </row>
    <row r="182" spans="1:11" x14ac:dyDescent="0.3">
      <c r="A182" s="4">
        <v>198000</v>
      </c>
      <c r="B182" s="4" t="s">
        <v>31</v>
      </c>
      <c r="C182" s="8">
        <v>1.394817</v>
      </c>
      <c r="D182" s="9">
        <v>10.5</v>
      </c>
      <c r="E182" s="8">
        <v>3.515857E-2</v>
      </c>
      <c r="F182" s="8">
        <v>71.303731497099676</v>
      </c>
      <c r="G182" s="9">
        <v>4</v>
      </c>
      <c r="H182" s="8">
        <v>1.4263980000000001E-2</v>
      </c>
      <c r="I182" s="8">
        <v>1.1226543574270021E-2</v>
      </c>
      <c r="J182" s="9">
        <v>-1.047852796772208</v>
      </c>
      <c r="K182" s="4" t="s">
        <v>212</v>
      </c>
    </row>
    <row r="183" spans="1:11" x14ac:dyDescent="0.3">
      <c r="A183" s="4">
        <v>198000</v>
      </c>
      <c r="B183" s="4" t="s">
        <v>33</v>
      </c>
      <c r="C183" s="8">
        <v>1.394817</v>
      </c>
      <c r="D183" s="9">
        <v>10.5</v>
      </c>
      <c r="E183" s="8">
        <v>3.515857E-2</v>
      </c>
      <c r="F183" s="8">
        <v>72.215691846646692</v>
      </c>
      <c r="G183" s="9">
        <v>3.25</v>
      </c>
      <c r="H183" s="8">
        <v>1.3160720000000001E-2</v>
      </c>
      <c r="I183" s="8">
        <v>1.0867586586527081E-2</v>
      </c>
      <c r="J183" s="9">
        <v>-1.1048455081551301</v>
      </c>
      <c r="K183" s="4" t="s">
        <v>213</v>
      </c>
    </row>
    <row r="184" spans="1:11" x14ac:dyDescent="0.3">
      <c r="A184" s="4">
        <v>198000</v>
      </c>
      <c r="B184" s="4" t="s">
        <v>35</v>
      </c>
      <c r="C184" s="8">
        <v>1.394817</v>
      </c>
      <c r="D184" s="9">
        <v>10.5</v>
      </c>
      <c r="E184" s="8">
        <v>3.515857E-2</v>
      </c>
      <c r="F184" s="8">
        <v>72.5507328050154</v>
      </c>
      <c r="G184" s="9">
        <v>3</v>
      </c>
      <c r="H184" s="8">
        <v>1.281173E-2</v>
      </c>
      <c r="I184" s="8">
        <v>1.0700727676515731E-2</v>
      </c>
      <c r="J184" s="9">
        <v>-1.1332781721667951</v>
      </c>
      <c r="K184" s="4" t="s">
        <v>214</v>
      </c>
    </row>
    <row r="185" spans="1:11" x14ac:dyDescent="0.3">
      <c r="A185" s="4">
        <v>198000</v>
      </c>
      <c r="B185" s="4" t="s">
        <v>37</v>
      </c>
      <c r="C185" s="8">
        <v>1.394817</v>
      </c>
      <c r="D185" s="9">
        <v>10.5</v>
      </c>
      <c r="E185" s="8">
        <v>3.515857E-2</v>
      </c>
      <c r="F185" s="8">
        <v>72.771356202066883</v>
      </c>
      <c r="G185" s="9">
        <v>2.75</v>
      </c>
      <c r="H185" s="8">
        <v>1.247963E-2</v>
      </c>
      <c r="I185" s="8">
        <v>1.0539783444045509E-2</v>
      </c>
      <c r="J185" s="9">
        <v>-1.1621145839138289</v>
      </c>
      <c r="K185" s="4" t="s">
        <v>215</v>
      </c>
    </row>
    <row r="186" spans="1:11" x14ac:dyDescent="0.3">
      <c r="A186" s="4">
        <v>198000</v>
      </c>
      <c r="B186" s="4" t="s">
        <v>39</v>
      </c>
      <c r="C186" s="8">
        <v>1.394817</v>
      </c>
      <c r="D186" s="9">
        <v>10.5</v>
      </c>
      <c r="E186" s="8">
        <v>3.515857E-2</v>
      </c>
      <c r="F186" s="8">
        <v>72.872473565438469</v>
      </c>
      <c r="G186" s="9">
        <v>2.5</v>
      </c>
      <c r="H186" s="8">
        <v>1.2177240000000001E-2</v>
      </c>
      <c r="I186" s="8">
        <v>1.023909820823053E-2</v>
      </c>
      <c r="J186" s="9">
        <v>-1.221040165794927</v>
      </c>
      <c r="K186" s="4" t="s">
        <v>216</v>
      </c>
    </row>
    <row r="187" spans="1:11" x14ac:dyDescent="0.3">
      <c r="A187" s="4">
        <v>198000</v>
      </c>
      <c r="B187" s="4" t="s">
        <v>41</v>
      </c>
      <c r="C187" s="8">
        <v>1.394817</v>
      </c>
      <c r="D187" s="9">
        <v>10.5</v>
      </c>
      <c r="E187" s="8">
        <v>3.515857E-2</v>
      </c>
      <c r="F187" s="8">
        <v>72.872473565438469</v>
      </c>
      <c r="G187" s="9">
        <v>2.5</v>
      </c>
      <c r="H187" s="8">
        <v>1.2177240000000001E-2</v>
      </c>
      <c r="I187" s="8">
        <v>1.010564285967609E-2</v>
      </c>
      <c r="J187" s="9">
        <v>-1.2504728691334679</v>
      </c>
      <c r="K187" s="4" t="s">
        <v>217</v>
      </c>
    </row>
    <row r="188" spans="1:11" x14ac:dyDescent="0.3">
      <c r="A188" s="4">
        <v>198000</v>
      </c>
      <c r="B188" s="4" t="s">
        <v>43</v>
      </c>
      <c r="C188" s="8">
        <v>1.394817</v>
      </c>
      <c r="D188" s="9">
        <v>10.5</v>
      </c>
      <c r="E188" s="8">
        <v>3.515857E-2</v>
      </c>
      <c r="F188" s="8">
        <v>72.872473565438469</v>
      </c>
      <c r="G188" s="9">
        <v>2.5</v>
      </c>
      <c r="H188" s="8">
        <v>1.2177240000000001E-2</v>
      </c>
      <c r="I188" s="8">
        <v>9.9931945882999178E-3</v>
      </c>
      <c r="J188" s="9">
        <v>-1.2789657472436931</v>
      </c>
      <c r="K188" s="4" t="s">
        <v>218</v>
      </c>
    </row>
    <row r="189" spans="1:11" x14ac:dyDescent="0.3">
      <c r="A189" s="4">
        <v>198000</v>
      </c>
      <c r="B189" s="4" t="s">
        <v>45</v>
      </c>
      <c r="C189" s="8">
        <v>1.394817</v>
      </c>
      <c r="D189" s="9">
        <v>10.5</v>
      </c>
      <c r="E189" s="8">
        <v>3.515857E-2</v>
      </c>
      <c r="F189" s="8">
        <v>72.872473565438469</v>
      </c>
      <c r="G189" s="9">
        <v>2.5</v>
      </c>
      <c r="H189" s="8">
        <v>1.2177240000000001E-2</v>
      </c>
      <c r="I189" s="8">
        <v>9.8271928258473439E-3</v>
      </c>
      <c r="J189" s="9">
        <v>-1.336552988375842</v>
      </c>
      <c r="K189" s="4" t="s">
        <v>219</v>
      </c>
    </row>
    <row r="190" spans="1:11" x14ac:dyDescent="0.3">
      <c r="A190" s="4">
        <v>198000</v>
      </c>
      <c r="B190" s="4" t="s">
        <v>47</v>
      </c>
      <c r="C190" s="8">
        <v>1.394817</v>
      </c>
      <c r="D190" s="9">
        <v>10.5</v>
      </c>
      <c r="E190" s="8">
        <v>3.515857E-2</v>
      </c>
      <c r="F190" s="8">
        <v>72.872473565438469</v>
      </c>
      <c r="G190" s="9">
        <v>2.5</v>
      </c>
      <c r="H190" s="8">
        <v>1.2177240000000001E-2</v>
      </c>
      <c r="I190" s="8">
        <v>9.7842147642705438E-3</v>
      </c>
      <c r="J190" s="9">
        <v>-1.3674310901080431</v>
      </c>
      <c r="K190" s="4" t="s">
        <v>220</v>
      </c>
    </row>
    <row r="191" spans="1:11" x14ac:dyDescent="0.3">
      <c r="A191" s="4">
        <v>198000</v>
      </c>
      <c r="B191" s="4" t="s">
        <v>49</v>
      </c>
      <c r="C191" s="8">
        <v>1.394817</v>
      </c>
      <c r="D191" s="9">
        <v>10.5</v>
      </c>
      <c r="E191" s="8">
        <v>3.515857E-2</v>
      </c>
      <c r="F191" s="8">
        <v>72.872473565438469</v>
      </c>
      <c r="G191" s="9">
        <v>2.5</v>
      </c>
      <c r="H191" s="8">
        <v>1.2177240000000001E-2</v>
      </c>
      <c r="I191" s="8">
        <v>9.7782613301037637E-3</v>
      </c>
      <c r="J191" s="9">
        <v>-1.4013784250500481</v>
      </c>
      <c r="K191" s="4" t="s">
        <v>221</v>
      </c>
    </row>
    <row r="192" spans="1:11" x14ac:dyDescent="0.3">
      <c r="A192" s="5">
        <v>231000</v>
      </c>
      <c r="B192" s="5" t="s">
        <v>13</v>
      </c>
      <c r="C192" s="6">
        <v>1.3998889999999999</v>
      </c>
      <c r="D192" s="7">
        <v>10.25</v>
      </c>
      <c r="E192" s="6">
        <v>3.2241390000000002E-2</v>
      </c>
      <c r="F192" s="6">
        <v>77.350441576664494</v>
      </c>
      <c r="G192" s="7">
        <v>2.25</v>
      </c>
      <c r="H192" s="6">
        <v>1.1174730000000001E-2</v>
      </c>
      <c r="I192" s="6">
        <v>9.3691947383627606E-3</v>
      </c>
      <c r="J192" s="7">
        <v>-1.5353208699210019</v>
      </c>
      <c r="K192" s="5" t="s">
        <v>222</v>
      </c>
    </row>
    <row r="193" spans="1:11" x14ac:dyDescent="0.3">
      <c r="A193" s="4">
        <v>231000</v>
      </c>
      <c r="B193" s="4" t="s">
        <v>15</v>
      </c>
      <c r="C193" s="8">
        <v>1.3998109999999999</v>
      </c>
      <c r="D193" s="9">
        <v>10.25</v>
      </c>
      <c r="E193" s="8">
        <v>3.2247570000000003E-2</v>
      </c>
      <c r="F193" s="8">
        <v>55.980741044416114</v>
      </c>
      <c r="G193" s="9">
        <v>5.5</v>
      </c>
      <c r="H193" s="8">
        <v>1.946523E-2</v>
      </c>
      <c r="I193" s="8">
        <v>1.3467601435632951E-2</v>
      </c>
      <c r="J193" s="9">
        <v>-0.72915274327579049</v>
      </c>
      <c r="K193" s="4" t="s">
        <v>223</v>
      </c>
    </row>
    <row r="194" spans="1:11" x14ac:dyDescent="0.3">
      <c r="A194" s="4">
        <v>231000</v>
      </c>
      <c r="B194" s="4" t="s">
        <v>17</v>
      </c>
      <c r="C194" s="8">
        <v>1.3998889999999999</v>
      </c>
      <c r="D194" s="9">
        <v>10.25</v>
      </c>
      <c r="E194" s="8">
        <v>3.2241390000000002E-2</v>
      </c>
      <c r="F194" s="8">
        <v>60.197467488381022</v>
      </c>
      <c r="G194" s="9">
        <v>6</v>
      </c>
      <c r="H194" s="8">
        <v>1.9059340000000001E-2</v>
      </c>
      <c r="I194" s="8">
        <v>1.311559987325729E-2</v>
      </c>
      <c r="J194" s="9">
        <v>-0.76723448243918668</v>
      </c>
      <c r="K194" s="4" t="s">
        <v>224</v>
      </c>
    </row>
    <row r="195" spans="1:11" x14ac:dyDescent="0.3">
      <c r="A195" s="4">
        <v>231000</v>
      </c>
      <c r="B195" s="4" t="s">
        <v>19</v>
      </c>
      <c r="C195" s="8">
        <v>1.3998889999999999</v>
      </c>
      <c r="D195" s="9">
        <v>10.25</v>
      </c>
      <c r="E195" s="8">
        <v>3.2241390000000002E-2</v>
      </c>
      <c r="F195" s="8">
        <v>64.55570770951573</v>
      </c>
      <c r="G195" s="9">
        <v>6.25</v>
      </c>
      <c r="H195" s="8">
        <v>1.8336689999999999E-2</v>
      </c>
      <c r="I195" s="8">
        <v>1.271228046894793E-2</v>
      </c>
      <c r="J195" s="9">
        <v>-0.81319425573277004</v>
      </c>
      <c r="K195" s="4" t="s">
        <v>225</v>
      </c>
    </row>
    <row r="196" spans="1:11" x14ac:dyDescent="0.3">
      <c r="A196" s="4">
        <v>231000</v>
      </c>
      <c r="B196" s="4" t="s">
        <v>21</v>
      </c>
      <c r="C196" s="8">
        <v>1.3998889999999999</v>
      </c>
      <c r="D196" s="9">
        <v>10.25</v>
      </c>
      <c r="E196" s="8">
        <v>3.2241390000000002E-2</v>
      </c>
      <c r="F196" s="8">
        <v>68.401725183652829</v>
      </c>
      <c r="G196" s="9">
        <v>6.5</v>
      </c>
      <c r="H196" s="8">
        <v>1.782303E-2</v>
      </c>
      <c r="I196" s="8">
        <v>1.230108147720145E-2</v>
      </c>
      <c r="J196" s="9">
        <v>-0.86192100158262686</v>
      </c>
      <c r="K196" s="4" t="s">
        <v>226</v>
      </c>
    </row>
    <row r="197" spans="1:11" x14ac:dyDescent="0.3">
      <c r="A197" s="4">
        <v>231000</v>
      </c>
      <c r="B197" s="4" t="s">
        <v>23</v>
      </c>
      <c r="C197" s="8">
        <v>1.3998889999999999</v>
      </c>
      <c r="D197" s="9">
        <v>10.25</v>
      </c>
      <c r="E197" s="8">
        <v>3.2241390000000002E-2</v>
      </c>
      <c r="F197" s="8">
        <v>70.66658622545836</v>
      </c>
      <c r="G197" s="9">
        <v>6.25</v>
      </c>
      <c r="H197" s="8">
        <v>1.7072509999999999E-2</v>
      </c>
      <c r="I197" s="8">
        <v>1.1926281590748459E-2</v>
      </c>
      <c r="J197" s="9">
        <v>-0.90772125530587</v>
      </c>
      <c r="K197" s="4" t="s">
        <v>227</v>
      </c>
    </row>
    <row r="198" spans="1:11" x14ac:dyDescent="0.3">
      <c r="A198" s="4">
        <v>231000</v>
      </c>
      <c r="B198" s="4" t="s">
        <v>25</v>
      </c>
      <c r="C198" s="8">
        <v>1.3998889999999999</v>
      </c>
      <c r="D198" s="9">
        <v>10.25</v>
      </c>
      <c r="E198" s="8">
        <v>3.2241390000000002E-2</v>
      </c>
      <c r="F198" s="8">
        <v>72.042223829381257</v>
      </c>
      <c r="G198" s="9">
        <v>5.75</v>
      </c>
      <c r="H198" s="8">
        <v>1.6246750000000001E-2</v>
      </c>
      <c r="I198" s="8">
        <v>1.151049007396243E-2</v>
      </c>
      <c r="J198" s="9">
        <v>-0.96004242264950601</v>
      </c>
      <c r="K198" s="4" t="s">
        <v>228</v>
      </c>
    </row>
    <row r="199" spans="1:11" x14ac:dyDescent="0.3">
      <c r="A199" s="4">
        <v>231000</v>
      </c>
      <c r="B199" s="4" t="s">
        <v>27</v>
      </c>
      <c r="C199" s="8">
        <v>1.3998889999999999</v>
      </c>
      <c r="D199" s="9">
        <v>10.25</v>
      </c>
      <c r="E199" s="8">
        <v>3.2241390000000002E-2</v>
      </c>
      <c r="F199" s="8">
        <v>73.73046171576749</v>
      </c>
      <c r="G199" s="9">
        <v>4.75</v>
      </c>
      <c r="H199" s="8">
        <v>1.471598E-2</v>
      </c>
      <c r="I199" s="8">
        <v>1.103941580052945E-2</v>
      </c>
      <c r="J199" s="9">
        <v>-1.0222773897637949</v>
      </c>
      <c r="K199" s="4" t="s">
        <v>229</v>
      </c>
    </row>
    <row r="200" spans="1:11" x14ac:dyDescent="0.3">
      <c r="A200" s="4">
        <v>231000</v>
      </c>
      <c r="B200" s="4" t="s">
        <v>29</v>
      </c>
      <c r="C200" s="8">
        <v>1.3998889999999999</v>
      </c>
      <c r="D200" s="9">
        <v>10.25</v>
      </c>
      <c r="E200" s="8">
        <v>3.2241390000000002E-2</v>
      </c>
      <c r="F200" s="8">
        <v>74.495604394030735</v>
      </c>
      <c r="G200" s="9">
        <v>4.25</v>
      </c>
      <c r="H200" s="8">
        <v>1.396622E-2</v>
      </c>
      <c r="I200" s="8">
        <v>1.0821612973245629E-2</v>
      </c>
      <c r="J200" s="9">
        <v>-1.052845677279735</v>
      </c>
      <c r="K200" s="4" t="s">
        <v>230</v>
      </c>
    </row>
    <row r="201" spans="1:11" x14ac:dyDescent="0.3">
      <c r="A201" s="4">
        <v>231000</v>
      </c>
      <c r="B201" s="4" t="s">
        <v>31</v>
      </c>
      <c r="C201" s="8">
        <v>1.3998889999999999</v>
      </c>
      <c r="D201" s="9">
        <v>10.25</v>
      </c>
      <c r="E201" s="8">
        <v>3.2241390000000002E-2</v>
      </c>
      <c r="F201" s="8">
        <v>75.25416294198881</v>
      </c>
      <c r="G201" s="9">
        <v>3.75</v>
      </c>
      <c r="H201" s="8">
        <v>1.3222619999999999E-2</v>
      </c>
      <c r="I201" s="8">
        <v>1.062106702915497E-2</v>
      </c>
      <c r="J201" s="9">
        <v>-1.082297238248598</v>
      </c>
      <c r="K201" s="4" t="s">
        <v>231</v>
      </c>
    </row>
    <row r="202" spans="1:11" x14ac:dyDescent="0.3">
      <c r="A202" s="4">
        <v>231000</v>
      </c>
      <c r="B202" s="4" t="s">
        <v>33</v>
      </c>
      <c r="C202" s="8">
        <v>1.3998889999999999</v>
      </c>
      <c r="D202" s="9">
        <v>10.25</v>
      </c>
      <c r="E202" s="8">
        <v>3.2241390000000002E-2</v>
      </c>
      <c r="F202" s="8">
        <v>76.317042620566596</v>
      </c>
      <c r="G202" s="9">
        <v>3.25</v>
      </c>
      <c r="H202" s="8">
        <v>1.248646E-2</v>
      </c>
      <c r="I202" s="8">
        <v>1.026524550428398E-2</v>
      </c>
      <c r="J202" s="9">
        <v>-1.1382389816183389</v>
      </c>
      <c r="K202" s="4" t="s">
        <v>232</v>
      </c>
    </row>
    <row r="203" spans="1:11" x14ac:dyDescent="0.3">
      <c r="A203" s="4">
        <v>231000</v>
      </c>
      <c r="B203" s="4" t="s">
        <v>35</v>
      </c>
      <c r="C203" s="8">
        <v>1.3998889999999999</v>
      </c>
      <c r="D203" s="9">
        <v>10.25</v>
      </c>
      <c r="E203" s="8">
        <v>3.2241390000000002E-2</v>
      </c>
      <c r="F203" s="8">
        <v>76.740726187532388</v>
      </c>
      <c r="G203" s="9">
        <v>2.75</v>
      </c>
      <c r="H203" s="8">
        <v>1.1808519999999999E-2</v>
      </c>
      <c r="I203" s="8">
        <v>1.0098523719681391E-2</v>
      </c>
      <c r="J203" s="9">
        <v>-1.166282949815816</v>
      </c>
      <c r="K203" s="4" t="s">
        <v>233</v>
      </c>
    </row>
    <row r="204" spans="1:11" x14ac:dyDescent="0.3">
      <c r="A204" s="4">
        <v>231000</v>
      </c>
      <c r="B204" s="4" t="s">
        <v>37</v>
      </c>
      <c r="C204" s="8">
        <v>1.3998889999999999</v>
      </c>
      <c r="D204" s="9">
        <v>10.25</v>
      </c>
      <c r="E204" s="8">
        <v>3.2241390000000002E-2</v>
      </c>
      <c r="F204" s="8">
        <v>77.054296033778158</v>
      </c>
      <c r="G204" s="9">
        <v>2.75</v>
      </c>
      <c r="H204" s="8">
        <v>1.1794600000000001E-2</v>
      </c>
      <c r="I204" s="8">
        <v>9.9367925655189926E-3</v>
      </c>
      <c r="J204" s="9">
        <v>-1.194810864009398</v>
      </c>
      <c r="K204" s="4" t="s">
        <v>234</v>
      </c>
    </row>
    <row r="205" spans="1:11" x14ac:dyDescent="0.3">
      <c r="A205" s="4">
        <v>231000</v>
      </c>
      <c r="B205" s="4" t="s">
        <v>39</v>
      </c>
      <c r="C205" s="8">
        <v>1.3998889999999999</v>
      </c>
      <c r="D205" s="9">
        <v>10.25</v>
      </c>
      <c r="E205" s="8">
        <v>3.2241390000000002E-2</v>
      </c>
      <c r="F205" s="8">
        <v>77.350294190026617</v>
      </c>
      <c r="G205" s="9">
        <v>2.25</v>
      </c>
      <c r="H205" s="8">
        <v>1.1174750000000001E-2</v>
      </c>
      <c r="I205" s="8">
        <v>9.6317169017366595E-3</v>
      </c>
      <c r="J205" s="9">
        <v>-1.253441742974424</v>
      </c>
      <c r="K205" s="4" t="s">
        <v>235</v>
      </c>
    </row>
    <row r="206" spans="1:11" x14ac:dyDescent="0.3">
      <c r="A206" s="4">
        <v>231000</v>
      </c>
      <c r="B206" s="4" t="s">
        <v>41</v>
      </c>
      <c r="C206" s="8">
        <v>1.3998889999999999</v>
      </c>
      <c r="D206" s="9">
        <v>10.25</v>
      </c>
      <c r="E206" s="8">
        <v>3.2241390000000002E-2</v>
      </c>
      <c r="F206" s="8">
        <v>77.350441576664494</v>
      </c>
      <c r="G206" s="9">
        <v>2.25</v>
      </c>
      <c r="H206" s="8">
        <v>1.1174730000000001E-2</v>
      </c>
      <c r="I206" s="8">
        <v>9.4951052030102373E-3</v>
      </c>
      <c r="J206" s="9">
        <v>-1.283076258031556</v>
      </c>
      <c r="K206" s="4" t="s">
        <v>236</v>
      </c>
    </row>
    <row r="207" spans="1:11" x14ac:dyDescent="0.3">
      <c r="A207" s="4">
        <v>231000</v>
      </c>
      <c r="B207" s="4" t="s">
        <v>43</v>
      </c>
      <c r="C207" s="8">
        <v>1.3998889999999999</v>
      </c>
      <c r="D207" s="9">
        <v>10.25</v>
      </c>
      <c r="E207" s="8">
        <v>3.2241390000000002E-2</v>
      </c>
      <c r="F207" s="8">
        <v>77.350441576664494</v>
      </c>
      <c r="G207" s="9">
        <v>2.25</v>
      </c>
      <c r="H207" s="8">
        <v>1.1174730000000001E-2</v>
      </c>
      <c r="I207" s="8">
        <v>9.3772967493231073E-3</v>
      </c>
      <c r="J207" s="9">
        <v>-1.3117673526880029</v>
      </c>
      <c r="K207" s="4" t="s">
        <v>237</v>
      </c>
    </row>
    <row r="208" spans="1:11" x14ac:dyDescent="0.3">
      <c r="A208" s="4">
        <v>231000</v>
      </c>
      <c r="B208" s="4" t="s">
        <v>45</v>
      </c>
      <c r="C208" s="8">
        <v>1.3998889999999999</v>
      </c>
      <c r="D208" s="9">
        <v>10.25</v>
      </c>
      <c r="E208" s="8">
        <v>3.2241390000000002E-2</v>
      </c>
      <c r="F208" s="8">
        <v>77.350441576664494</v>
      </c>
      <c r="G208" s="9">
        <v>2.25</v>
      </c>
      <c r="H208" s="8">
        <v>1.1174730000000001E-2</v>
      </c>
      <c r="I208" s="8">
        <v>9.1959907070429409E-3</v>
      </c>
      <c r="J208" s="9">
        <v>-1.3699082803238261</v>
      </c>
      <c r="K208" s="4" t="s">
        <v>238</v>
      </c>
    </row>
    <row r="209" spans="1:11" x14ac:dyDescent="0.3">
      <c r="A209" s="4">
        <v>231000</v>
      </c>
      <c r="B209" s="4" t="s">
        <v>47</v>
      </c>
      <c r="C209" s="8">
        <v>1.3998889999999999</v>
      </c>
      <c r="D209" s="9">
        <v>10.25</v>
      </c>
      <c r="E209" s="8">
        <v>3.2241390000000002E-2</v>
      </c>
      <c r="F209" s="8">
        <v>77.350441576664494</v>
      </c>
      <c r="G209" s="9">
        <v>2.25</v>
      </c>
      <c r="H209" s="8">
        <v>1.1174730000000001E-2</v>
      </c>
      <c r="I209" s="8">
        <v>9.1433886671225609E-3</v>
      </c>
      <c r="J209" s="9">
        <v>-1.401035943971048</v>
      </c>
      <c r="K209" s="4" t="s">
        <v>239</v>
      </c>
    </row>
    <row r="210" spans="1:11" x14ac:dyDescent="0.3">
      <c r="A210" s="4">
        <v>231000</v>
      </c>
      <c r="B210" s="4" t="s">
        <v>49</v>
      </c>
      <c r="C210" s="8">
        <v>1.3998889999999999</v>
      </c>
      <c r="D210" s="9">
        <v>10.25</v>
      </c>
      <c r="E210" s="8">
        <v>3.2241390000000002E-2</v>
      </c>
      <c r="F210" s="8">
        <v>77.350441576664494</v>
      </c>
      <c r="G210" s="9">
        <v>2.25</v>
      </c>
      <c r="H210" s="8">
        <v>1.1174730000000001E-2</v>
      </c>
      <c r="I210" s="8">
        <v>9.1253864727758264E-3</v>
      </c>
      <c r="J210" s="9">
        <v>-1.435524949310123</v>
      </c>
      <c r="K210" s="4" t="s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84B0-2555-4304-A5EB-036C7B11102B}">
  <dimension ref="B1:F7"/>
  <sheetViews>
    <sheetView workbookViewId="0">
      <selection activeCell="D6" sqref="D6"/>
    </sheetView>
  </sheetViews>
  <sheetFormatPr baseColWidth="10" defaultRowHeight="14.4" x14ac:dyDescent="0.3"/>
  <cols>
    <col min="2" max="2" width="21.33203125" customWidth="1"/>
    <col min="3" max="3" width="24.5546875" customWidth="1"/>
    <col min="4" max="4" width="22.6640625" customWidth="1"/>
    <col min="5" max="5" width="21.44140625" customWidth="1"/>
    <col min="6" max="6" width="18.44140625" customWidth="1"/>
  </cols>
  <sheetData>
    <row r="1" spans="2:6" ht="33" customHeight="1" x14ac:dyDescent="0.3"/>
    <row r="2" spans="2:6" ht="17.399999999999999" customHeight="1" x14ac:dyDescent="0.3">
      <c r="B2" t="s">
        <v>268</v>
      </c>
    </row>
    <row r="3" spans="2:6" ht="46.8" customHeight="1" x14ac:dyDescent="0.3">
      <c r="B3" s="4" t="s">
        <v>262</v>
      </c>
      <c r="C3" s="16" t="s">
        <v>263</v>
      </c>
      <c r="D3" s="17" t="s">
        <v>265</v>
      </c>
      <c r="E3" s="16" t="s">
        <v>266</v>
      </c>
      <c r="F3" s="16" t="s">
        <v>264</v>
      </c>
    </row>
    <row r="4" spans="2:6" ht="43.2" x14ac:dyDescent="0.3">
      <c r="B4" s="4" t="s">
        <v>267</v>
      </c>
      <c r="C4" s="4">
        <f>Resultados_Simulacion!J97</f>
        <v>-1.2839015033424019</v>
      </c>
      <c r="D4" s="4">
        <f>Resultados_Simulacion!I97</f>
        <v>1.532627924846007E-2</v>
      </c>
      <c r="E4" s="4" t="s">
        <v>269</v>
      </c>
      <c r="F4" s="15" t="s">
        <v>270</v>
      </c>
    </row>
    <row r="5" spans="2:6" ht="43.2" x14ac:dyDescent="0.3">
      <c r="B5" s="20">
        <v>0.3</v>
      </c>
      <c r="C5" s="4">
        <f>Resultados_Simulacion!J103</f>
        <v>-0.77704343382728702</v>
      </c>
      <c r="D5" s="4">
        <f>Resultados_Simulacion!I103</f>
        <v>1.4674282985222281E-2</v>
      </c>
      <c r="E5" s="19">
        <f>(D5-D4)/D4</f>
        <v>-4.2541066404182842E-2</v>
      </c>
      <c r="F5" s="15" t="s">
        <v>271</v>
      </c>
    </row>
    <row r="6" spans="2:6" ht="43.2" x14ac:dyDescent="0.3">
      <c r="B6" s="18">
        <v>0.38</v>
      </c>
      <c r="C6" s="4">
        <f>Resultados_Simulacion!J105</f>
        <v>-0.86703948801084008</v>
      </c>
      <c r="D6" s="4">
        <f>Resultados_Simulacion!I105</f>
        <v>1.3935126334414089E-2</v>
      </c>
      <c r="E6" s="19">
        <f>(D6-D4)/D4</f>
        <v>-9.0769122204644614E-2</v>
      </c>
      <c r="F6" s="15" t="s">
        <v>272</v>
      </c>
    </row>
    <row r="7" spans="2:6" ht="43.2" x14ac:dyDescent="0.3">
      <c r="B7" s="18">
        <v>0.45</v>
      </c>
      <c r="C7" s="4">
        <f>Resultados_Simulacion!J107</f>
        <v>-0.94953220547082406</v>
      </c>
      <c r="D7" s="4">
        <f>Resultados_Simulacion!I107</f>
        <v>1.3360130255602769E-2</v>
      </c>
      <c r="E7" s="19">
        <f>(D7-D4)/D4</f>
        <v>-0.12828612613559501</v>
      </c>
      <c r="F7" s="15" t="s">
        <v>273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0"/>
  <sheetViews>
    <sheetView zoomScale="80" zoomScaleNormal="80" workbookViewId="0">
      <pane ySplit="1" topLeftCell="A180" activePane="bottomLeft" state="frozen"/>
      <selection pane="bottomLeft" activeCell="F212" sqref="F212"/>
    </sheetView>
  </sheetViews>
  <sheetFormatPr baseColWidth="10" defaultColWidth="8.88671875" defaultRowHeight="14.4" x14ac:dyDescent="0.3"/>
  <cols>
    <col min="1" max="12" width="18" style="4" customWidth="1"/>
    <col min="13" max="16384" width="8.88671875" style="4"/>
  </cols>
  <sheetData>
    <row r="1" spans="1:12" ht="28.2" x14ac:dyDescent="0.3">
      <c r="A1" s="3" t="s">
        <v>2</v>
      </c>
      <c r="B1" s="3" t="s">
        <v>3</v>
      </c>
      <c r="C1" s="3" t="s">
        <v>4</v>
      </c>
      <c r="D1" s="3" t="s">
        <v>241</v>
      </c>
      <c r="E1" s="3" t="s">
        <v>6</v>
      </c>
      <c r="F1" s="3" t="s">
        <v>242</v>
      </c>
      <c r="G1" s="3" t="s">
        <v>7</v>
      </c>
      <c r="H1" s="3" t="s">
        <v>243</v>
      </c>
      <c r="I1" s="3" t="s">
        <v>9</v>
      </c>
      <c r="J1" s="3" t="s">
        <v>244</v>
      </c>
      <c r="K1" s="3" t="s">
        <v>10</v>
      </c>
      <c r="L1" s="3" t="s">
        <v>245</v>
      </c>
    </row>
    <row r="2" spans="1:12" x14ac:dyDescent="0.3">
      <c r="A2" s="12">
        <v>66000</v>
      </c>
      <c r="B2" s="12" t="s">
        <v>13</v>
      </c>
      <c r="C2" s="13">
        <f>Resultados_Simulacion!C2</f>
        <v>1.407762</v>
      </c>
      <c r="D2" s="14">
        <f>(C2-Resultados_Simulacion!C2)/Resultados_Simulacion!C2</f>
        <v>0</v>
      </c>
      <c r="E2" s="13">
        <f>Resultados_Simulacion!E2</f>
        <v>4.3014539999999997E-2</v>
      </c>
      <c r="F2" s="14">
        <f>(E2-Resultados_Simulacion!E2)/Resultados_Simulacion!E2</f>
        <v>0</v>
      </c>
      <c r="G2" s="13">
        <f>Resultados_Simulacion!F2</f>
        <v>40.039575094201261</v>
      </c>
      <c r="H2" s="14">
        <f>(G2-Resultados_Simulacion!F2)/Resultados_Simulacion!F2</f>
        <v>0</v>
      </c>
      <c r="I2" s="13">
        <f>Resultados_Simulacion!H2</f>
        <v>2.934674E-2</v>
      </c>
      <c r="J2" s="14">
        <f>(I2-Resultados_Simulacion!H2)/Resultados_Simulacion!H2</f>
        <v>0</v>
      </c>
      <c r="K2" s="13">
        <f>Resultados_Simulacion!I2</f>
        <v>2.844156732332578E-2</v>
      </c>
      <c r="L2" s="14">
        <f>(K2-Resultados_Simulacion!I2)/Resultados_Simulacion!I2</f>
        <v>0</v>
      </c>
    </row>
    <row r="3" spans="1:12" x14ac:dyDescent="0.3">
      <c r="A3" s="4">
        <v>66000</v>
      </c>
      <c r="B3" s="4" t="s">
        <v>15</v>
      </c>
      <c r="C3" s="8">
        <f>Resultados_Simulacion!C3</f>
        <v>1.2058660000000001</v>
      </c>
      <c r="D3" s="10">
        <f>(C3-Resultados_Simulacion!C2)/Resultados_Simulacion!C2</f>
        <v>-0.14341628769635767</v>
      </c>
      <c r="E3" s="8">
        <f>Resultados_Simulacion!E3</f>
        <v>6.4228789999999994E-2</v>
      </c>
      <c r="F3" s="10">
        <f>(E3-Resultados_Simulacion!E2)/Resultados_Simulacion!E2</f>
        <v>0.49318788484080028</v>
      </c>
      <c r="G3" s="8">
        <f>Resultados_Simulacion!F3</f>
        <v>32.947093116638619</v>
      </c>
      <c r="H3" s="10">
        <f>(G3-Resultados_Simulacion!F2)/Resultados_Simulacion!F2</f>
        <v>-0.17713679430603677</v>
      </c>
      <c r="I3" s="8">
        <f>Resultados_Simulacion!H3</f>
        <v>2.9012860000000001E-2</v>
      </c>
      <c r="J3" s="10">
        <f>(I3-Resultados_Simulacion!H2)/Resultados_Simulacion!H2</f>
        <v>-1.1377072887823254E-2</v>
      </c>
      <c r="K3" s="8">
        <f>Resultados_Simulacion!I3</f>
        <v>2.125721333350334E-2</v>
      </c>
      <c r="L3" s="10">
        <f>(K3-Resultados_Simulacion!I2)/Resultados_Simulacion!I2</f>
        <v>-0.25260049518896721</v>
      </c>
    </row>
    <row r="4" spans="1:12" x14ac:dyDescent="0.3">
      <c r="A4" s="4">
        <v>66000</v>
      </c>
      <c r="B4" s="4" t="s">
        <v>17</v>
      </c>
      <c r="C4" s="8">
        <f>Resultados_Simulacion!C4</f>
        <v>1.3225549999999999</v>
      </c>
      <c r="D4" s="10">
        <f>(C4-Resultados_Simulacion!C2)/Resultados_Simulacion!C2</f>
        <v>-6.0526566280379807E-2</v>
      </c>
      <c r="E4" s="8">
        <f>Resultados_Simulacion!E4</f>
        <v>7.1083190000000004E-2</v>
      </c>
      <c r="F4" s="10">
        <f>(E4-Resultados_Simulacion!E2)/Resultados_Simulacion!E2</f>
        <v>0.65253865320889193</v>
      </c>
      <c r="G4" s="8">
        <f>Resultados_Simulacion!F4</f>
        <v>34.54526839728787</v>
      </c>
      <c r="H4" s="10">
        <f>(G4-Resultados_Simulacion!F2)/Resultados_Simulacion!F2</f>
        <v>-0.13722190317921493</v>
      </c>
      <c r="I4" s="8">
        <f>Resultados_Simulacion!H4</f>
        <v>2.8520779999999999E-2</v>
      </c>
      <c r="J4" s="10">
        <f>(I4-Resultados_Simulacion!H2)/Resultados_Simulacion!H2</f>
        <v>-2.8144863790662968E-2</v>
      </c>
      <c r="K4" s="8">
        <f>Resultados_Simulacion!I4</f>
        <v>2.0862961809738321E-2</v>
      </c>
      <c r="L4" s="10">
        <f>(K4-Resultados_Simulacion!I2)/Resultados_Simulacion!I2</f>
        <v>-0.26646230242635111</v>
      </c>
    </row>
    <row r="5" spans="1:12" x14ac:dyDescent="0.3">
      <c r="A5" s="4">
        <v>66000</v>
      </c>
      <c r="B5" s="4" t="s">
        <v>19</v>
      </c>
      <c r="C5" s="8">
        <f>Resultados_Simulacion!C5</f>
        <v>1.385008</v>
      </c>
      <c r="D5" s="10">
        <f>(C5-Resultados_Simulacion!C2)/Resultados_Simulacion!C2</f>
        <v>-1.6163243502807963E-2</v>
      </c>
      <c r="E5" s="8">
        <f>Resultados_Simulacion!E5</f>
        <v>5.0667619999999997E-2</v>
      </c>
      <c r="F5" s="10">
        <f>(E5-Resultados_Simulacion!E2)/Resultados_Simulacion!E2</f>
        <v>0.17791844339146717</v>
      </c>
      <c r="G5" s="8">
        <f>Resultados_Simulacion!F5</f>
        <v>36.304870253921663</v>
      </c>
      <c r="H5" s="10">
        <f>(G5-Resultados_Simulacion!F2)/Resultados_Simulacion!F2</f>
        <v>-9.3275336501272635E-2</v>
      </c>
      <c r="I5" s="8">
        <f>Resultados_Simulacion!H5</f>
        <v>2.80047E-2</v>
      </c>
      <c r="J5" s="10">
        <f>(I5-Resultados_Simulacion!H2)/Resultados_Simulacion!H2</f>
        <v>-4.5730462736235752E-2</v>
      </c>
      <c r="K5" s="8">
        <f>Resultados_Simulacion!I5</f>
        <v>2.041598284148681E-2</v>
      </c>
      <c r="L5" s="10">
        <f>(K5-Resultados_Simulacion!I2)/Resultados_Simulacion!I2</f>
        <v>-0.28217799640236241</v>
      </c>
    </row>
    <row r="6" spans="1:12" x14ac:dyDescent="0.3">
      <c r="A6" s="4">
        <v>66000</v>
      </c>
      <c r="B6" s="4" t="s">
        <v>21</v>
      </c>
      <c r="C6" s="8">
        <f>Resultados_Simulacion!C6</f>
        <v>1.407762</v>
      </c>
      <c r="D6" s="10">
        <f>(C6-Resultados_Simulacion!C2)/Resultados_Simulacion!C2</f>
        <v>0</v>
      </c>
      <c r="E6" s="8">
        <f>Resultados_Simulacion!E6</f>
        <v>4.3014579999999997E-2</v>
      </c>
      <c r="F6" s="10">
        <f>(E6-Resultados_Simulacion!E2)/Resultados_Simulacion!E2</f>
        <v>9.2991811605476783E-7</v>
      </c>
      <c r="G6" s="8">
        <f>Resultados_Simulacion!F6</f>
        <v>37.944651601924143</v>
      </c>
      <c r="H6" s="10">
        <f>(G6-Resultados_Simulacion!F2)/Resultados_Simulacion!F2</f>
        <v>-5.2321321775977488E-2</v>
      </c>
      <c r="I6" s="8">
        <f>Resultados_Simulacion!H6</f>
        <v>2.7665479999999999E-2</v>
      </c>
      <c r="J6" s="10">
        <f>(I6-Resultados_Simulacion!H2)/Resultados_Simulacion!H2</f>
        <v>-5.7289497913567244E-2</v>
      </c>
      <c r="K6" s="8">
        <f>Resultados_Simulacion!I6</f>
        <v>1.995956468165215E-2</v>
      </c>
      <c r="L6" s="10">
        <f>(K6-Resultados_Simulacion!I2)/Resultados_Simulacion!I2</f>
        <v>-0.29822557052674398</v>
      </c>
    </row>
    <row r="7" spans="1:12" x14ac:dyDescent="0.3">
      <c r="A7" s="4">
        <v>66000</v>
      </c>
      <c r="B7" s="4" t="s">
        <v>23</v>
      </c>
      <c r="C7" s="8">
        <f>Resultados_Simulacion!C7</f>
        <v>1.407762</v>
      </c>
      <c r="D7" s="10">
        <f>(C7-Resultados_Simulacion!C2)/Resultados_Simulacion!C2</f>
        <v>0</v>
      </c>
      <c r="E7" s="8">
        <f>Resultados_Simulacion!E7</f>
        <v>4.3014539999999997E-2</v>
      </c>
      <c r="F7" s="10">
        <f>(E7-Resultados_Simulacion!E2)/Resultados_Simulacion!E2</f>
        <v>0</v>
      </c>
      <c r="G7" s="8">
        <f>Resultados_Simulacion!F7</f>
        <v>39.221840674514851</v>
      </c>
      <c r="H7" s="10">
        <f>(G7-Resultados_Simulacion!F2)/Resultados_Simulacion!F2</f>
        <v>-2.0423154285791566E-2</v>
      </c>
      <c r="I7" s="8">
        <f>Resultados_Simulacion!H7</f>
        <v>2.7609769999999999E-2</v>
      </c>
      <c r="J7" s="10">
        <f>(I7-Resultados_Simulacion!H2)/Resultados_Simulacion!H2</f>
        <v>-5.9187834832761695E-2</v>
      </c>
      <c r="K7" s="8">
        <f>Resultados_Simulacion!I7</f>
        <v>1.9560559963998709E-2</v>
      </c>
      <c r="L7" s="10">
        <f>(K7-Resultados_Simulacion!I2)/Resultados_Simulacion!I2</f>
        <v>-0.31225449914089271</v>
      </c>
    </row>
    <row r="8" spans="1:12" x14ac:dyDescent="0.3">
      <c r="A8" s="4">
        <v>66000</v>
      </c>
      <c r="B8" s="4" t="s">
        <v>25</v>
      </c>
      <c r="C8" s="8">
        <f>Resultados_Simulacion!C8</f>
        <v>1.407762</v>
      </c>
      <c r="D8" s="10">
        <f>(C8-Resultados_Simulacion!C2)/Resultados_Simulacion!C2</f>
        <v>0</v>
      </c>
      <c r="E8" s="8">
        <f>Resultados_Simulacion!E8</f>
        <v>4.3014539999999997E-2</v>
      </c>
      <c r="F8" s="10">
        <f>(E8-Resultados_Simulacion!E2)/Resultados_Simulacion!E2</f>
        <v>0</v>
      </c>
      <c r="G8" s="8">
        <f>Resultados_Simulacion!F8</f>
        <v>40.98146009240083</v>
      </c>
      <c r="H8" s="10">
        <f>(G8-Resultados_Simulacion!F2)/Resultados_Simulacion!F2</f>
        <v>2.3523850989517064E-2</v>
      </c>
      <c r="I8" s="8">
        <f>Resultados_Simulacion!H8</f>
        <v>2.812096E-2</v>
      </c>
      <c r="J8" s="10">
        <f>(I8-Resultados_Simulacion!H2)/Resultados_Simulacion!H2</f>
        <v>-4.1768864275895698E-2</v>
      </c>
      <c r="K8" s="8">
        <f>Resultados_Simulacion!I8</f>
        <v>1.909031680655757E-2</v>
      </c>
      <c r="L8" s="10">
        <f>(K8-Resultados_Simulacion!I2)/Resultados_Simulacion!I2</f>
        <v>-0.32878815750420931</v>
      </c>
    </row>
    <row r="9" spans="1:12" x14ac:dyDescent="0.3">
      <c r="A9" s="4">
        <v>66000</v>
      </c>
      <c r="B9" s="4" t="s">
        <v>27</v>
      </c>
      <c r="C9" s="8">
        <f>Resultados_Simulacion!C9</f>
        <v>1.407762</v>
      </c>
      <c r="D9" s="10">
        <f>(C9-Resultados_Simulacion!C2)/Resultados_Simulacion!C2</f>
        <v>0</v>
      </c>
      <c r="E9" s="8">
        <f>Resultados_Simulacion!E9</f>
        <v>4.3014539999999997E-2</v>
      </c>
      <c r="F9" s="10">
        <f>(E9-Resultados_Simulacion!E2)/Resultados_Simulacion!E2</f>
        <v>0</v>
      </c>
      <c r="G9" s="8">
        <f>Resultados_Simulacion!F9</f>
        <v>42.672214221743239</v>
      </c>
      <c r="H9" s="10">
        <f>(G9-Resultados_Simulacion!F2)/Resultados_Simulacion!F2</f>
        <v>6.5750925711578062E-2</v>
      </c>
      <c r="I9" s="8">
        <f>Resultados_Simulacion!H9</f>
        <v>2.6630350000000001E-2</v>
      </c>
      <c r="J9" s="10">
        <f>(I9-Resultados_Simulacion!H2)/Resultados_Simulacion!H2</f>
        <v>-9.2561899550001089E-2</v>
      </c>
      <c r="K9" s="8">
        <f>Resultados_Simulacion!I9</f>
        <v>1.8519004459446799E-2</v>
      </c>
      <c r="L9" s="10">
        <f>(K9-Resultados_Simulacion!I2)/Resultados_Simulacion!I2</f>
        <v>-0.3488753890064698</v>
      </c>
    </row>
    <row r="10" spans="1:12" x14ac:dyDescent="0.3">
      <c r="A10" s="4">
        <v>66000</v>
      </c>
      <c r="B10" s="4" t="s">
        <v>29</v>
      </c>
      <c r="C10" s="8">
        <f>Resultados_Simulacion!C10</f>
        <v>1.407762</v>
      </c>
      <c r="D10" s="10">
        <f>(C10-Resultados_Simulacion!C2)/Resultados_Simulacion!C2</f>
        <v>0</v>
      </c>
      <c r="E10" s="8">
        <f>Resultados_Simulacion!E10</f>
        <v>4.3014539999999997E-2</v>
      </c>
      <c r="F10" s="10">
        <f>(E10-Resultados_Simulacion!E2)/Resultados_Simulacion!E2</f>
        <v>0</v>
      </c>
      <c r="G10" s="8">
        <f>Resultados_Simulacion!F10</f>
        <v>43.243985288369011</v>
      </c>
      <c r="H10" s="10">
        <f>(G10-Resultados_Simulacion!F2)/Resultados_Simulacion!F2</f>
        <v>8.0031073921956505E-2</v>
      </c>
      <c r="I10" s="8">
        <f>Resultados_Simulacion!H10</f>
        <v>2.6041979999999999E-2</v>
      </c>
      <c r="J10" s="10">
        <f>(I10-Resultados_Simulacion!H2)/Resultados_Simulacion!H2</f>
        <v>-0.11261080447095659</v>
      </c>
      <c r="K10" s="8">
        <f>Resultados_Simulacion!I10</f>
        <v>1.82555201707237E-2</v>
      </c>
      <c r="L10" s="10">
        <f>(K10-Resultados_Simulacion!I2)/Resultados_Simulacion!I2</f>
        <v>-0.35813944557999794</v>
      </c>
    </row>
    <row r="11" spans="1:12" x14ac:dyDescent="0.3">
      <c r="A11" s="4">
        <v>66000</v>
      </c>
      <c r="B11" s="4" t="s">
        <v>31</v>
      </c>
      <c r="C11" s="8">
        <f>Resultados_Simulacion!C11</f>
        <v>1.407762</v>
      </c>
      <c r="D11" s="10">
        <f>(C11-Resultados_Simulacion!C2)/Resultados_Simulacion!C2</f>
        <v>0</v>
      </c>
      <c r="E11" s="8">
        <f>Resultados_Simulacion!E11</f>
        <v>4.3014539999999997E-2</v>
      </c>
      <c r="F11" s="10">
        <f>(E11-Resultados_Simulacion!E2)/Resultados_Simulacion!E2</f>
        <v>0</v>
      </c>
      <c r="G11" s="8">
        <f>Resultados_Simulacion!F11</f>
        <v>43.562058474065488</v>
      </c>
      <c r="H11" s="10">
        <f>(G11-Resultados_Simulacion!F2)/Resultados_Simulacion!F2</f>
        <v>8.7975043980283663E-2</v>
      </c>
      <c r="I11" s="8">
        <f>Resultados_Simulacion!H11</f>
        <v>2.4903689999999999E-2</v>
      </c>
      <c r="J11" s="10">
        <f>(I11-Resultados_Simulacion!H2)/Resultados_Simulacion!H2</f>
        <v>-0.15139841767773868</v>
      </c>
      <c r="K11" s="8">
        <f>Resultados_Simulacion!I11</f>
        <v>1.8024198535671811E-2</v>
      </c>
      <c r="L11" s="10">
        <f>(K11-Resultados_Simulacion!I2)/Resultados_Simulacion!I2</f>
        <v>-0.36627266947804155</v>
      </c>
    </row>
    <row r="12" spans="1:12" x14ac:dyDescent="0.3">
      <c r="A12" s="4">
        <v>66000</v>
      </c>
      <c r="B12" s="4" t="s">
        <v>33</v>
      </c>
      <c r="C12" s="8">
        <f>Resultados_Simulacion!C12</f>
        <v>1.407762</v>
      </c>
      <c r="D12" s="10">
        <f>(C12-Resultados_Simulacion!C2)/Resultados_Simulacion!C2</f>
        <v>0</v>
      </c>
      <c r="E12" s="8">
        <f>Resultados_Simulacion!E12</f>
        <v>4.3014539999999997E-2</v>
      </c>
      <c r="F12" s="10">
        <f>(E12-Resultados_Simulacion!E2)/Resultados_Simulacion!E2</f>
        <v>0</v>
      </c>
      <c r="G12" s="8">
        <f>Resultados_Simulacion!F12</f>
        <v>43.723215682296598</v>
      </c>
      <c r="H12" s="10">
        <f>(G12-Resultados_Simulacion!F2)/Resultados_Simulacion!F2</f>
        <v>9.1999991993641825E-2</v>
      </c>
      <c r="I12" s="8">
        <f>Resultados_Simulacion!H12</f>
        <v>2.346289E-2</v>
      </c>
      <c r="J12" s="10">
        <f>(I12-Resultados_Simulacion!H2)/Resultados_Simulacion!H2</f>
        <v>-0.20049416050982152</v>
      </c>
      <c r="K12" s="8">
        <f>Resultados_Simulacion!I12</f>
        <v>1.7659924964461449E-2</v>
      </c>
      <c r="L12" s="10">
        <f>(K12-Resultados_Simulacion!I2)/Resultados_Simulacion!I2</f>
        <v>-0.37908045770817927</v>
      </c>
    </row>
    <row r="13" spans="1:12" x14ac:dyDescent="0.3">
      <c r="A13" s="4">
        <v>66000</v>
      </c>
      <c r="B13" s="4" t="s">
        <v>35</v>
      </c>
      <c r="C13" s="8">
        <f>Resultados_Simulacion!C13</f>
        <v>1.407762</v>
      </c>
      <c r="D13" s="10">
        <f>(C13-Resultados_Simulacion!C2)/Resultados_Simulacion!C2</f>
        <v>0</v>
      </c>
      <c r="E13" s="8">
        <f>Resultados_Simulacion!E13</f>
        <v>4.3014539999999997E-2</v>
      </c>
      <c r="F13" s="10">
        <f>(E13-Resultados_Simulacion!E2)/Resultados_Simulacion!E2</f>
        <v>0</v>
      </c>
      <c r="G13" s="8">
        <f>Resultados_Simulacion!F13</f>
        <v>43.559842609759833</v>
      </c>
      <c r="H13" s="10">
        <f>(G13-Resultados_Simulacion!F2)/Resultados_Simulacion!F2</f>
        <v>8.791970212661912E-2</v>
      </c>
      <c r="I13" s="8">
        <f>Resultados_Simulacion!H13</f>
        <v>2.3165350000000001E-2</v>
      </c>
      <c r="J13" s="10">
        <f>(I13-Resultados_Simulacion!H2)/Resultados_Simulacion!H2</f>
        <v>-0.21063293571960628</v>
      </c>
      <c r="K13" s="8">
        <f>Resultados_Simulacion!I13</f>
        <v>1.751121961874293E-2</v>
      </c>
      <c r="L13" s="10">
        <f>(K13-Resultados_Simulacion!I2)/Resultados_Simulacion!I2</f>
        <v>-0.384308908870101</v>
      </c>
    </row>
    <row r="14" spans="1:12" x14ac:dyDescent="0.3">
      <c r="A14" s="4">
        <v>66000</v>
      </c>
      <c r="B14" s="4" t="s">
        <v>37</v>
      </c>
      <c r="C14" s="8">
        <f>Resultados_Simulacion!C14</f>
        <v>1.407762</v>
      </c>
      <c r="D14" s="10">
        <f>(C14-Resultados_Simulacion!C2)/Resultados_Simulacion!C2</f>
        <v>0</v>
      </c>
      <c r="E14" s="8">
        <f>Resultados_Simulacion!E14</f>
        <v>4.3014539999999997E-2</v>
      </c>
      <c r="F14" s="10">
        <f>(E14-Resultados_Simulacion!E2)/Resultados_Simulacion!E2</f>
        <v>0</v>
      </c>
      <c r="G14" s="8">
        <f>Resultados_Simulacion!F14</f>
        <v>43.276139745946772</v>
      </c>
      <c r="H14" s="10">
        <f>(G14-Resultados_Simulacion!F2)/Resultados_Simulacion!F2</f>
        <v>8.0834140825191886E-2</v>
      </c>
      <c r="I14" s="8">
        <f>Resultados_Simulacion!H14</f>
        <v>2.2197709999999999E-2</v>
      </c>
      <c r="J14" s="10">
        <f>(I14-Resultados_Simulacion!H2)/Resultados_Simulacion!H2</f>
        <v>-0.24360559298920428</v>
      </c>
      <c r="K14" s="8">
        <f>Resultados_Simulacion!I14</f>
        <v>1.7381611892395399E-2</v>
      </c>
      <c r="L14" s="10">
        <f>(K14-Resultados_Simulacion!I2)/Resultados_Simulacion!I2</f>
        <v>-0.38886589143277561</v>
      </c>
    </row>
    <row r="15" spans="1:12" x14ac:dyDescent="0.3">
      <c r="A15" s="4">
        <v>66000</v>
      </c>
      <c r="B15" s="4" t="s">
        <v>39</v>
      </c>
      <c r="C15" s="8">
        <f>Resultados_Simulacion!C15</f>
        <v>1.407762</v>
      </c>
      <c r="D15" s="10">
        <f>(C15-Resultados_Simulacion!C2)/Resultados_Simulacion!C2</f>
        <v>0</v>
      </c>
      <c r="E15" s="8">
        <f>Resultados_Simulacion!E15</f>
        <v>4.3014539999999997E-2</v>
      </c>
      <c r="F15" s="10">
        <f>(E15-Resultados_Simulacion!E2)/Resultados_Simulacion!E2</f>
        <v>0</v>
      </c>
      <c r="G15" s="8">
        <f>Resultados_Simulacion!F15</f>
        <v>42.136725427252657</v>
      </c>
      <c r="H15" s="10">
        <f>(G15-Resultados_Simulacion!F2)/Resultados_Simulacion!F2</f>
        <v>5.2376937770129223E-2</v>
      </c>
      <c r="I15" s="8">
        <f>Resultados_Simulacion!H15</f>
        <v>2.1855920000000001E-2</v>
      </c>
      <c r="J15" s="10">
        <f>(I15-Resultados_Simulacion!H2)/Resultados_Simulacion!H2</f>
        <v>-0.25525220177777835</v>
      </c>
      <c r="K15" s="8">
        <f>Resultados_Simulacion!I15</f>
        <v>1.7189425368594521E-2</v>
      </c>
      <c r="L15" s="10">
        <f>(K15-Resultados_Simulacion!I2)/Resultados_Simulacion!I2</f>
        <v>-0.39562313239689295</v>
      </c>
    </row>
    <row r="16" spans="1:12" x14ac:dyDescent="0.3">
      <c r="A16" s="4">
        <v>66000</v>
      </c>
      <c r="B16" s="4" t="s">
        <v>41</v>
      </c>
      <c r="C16" s="8">
        <f>Resultados_Simulacion!C16</f>
        <v>1.407762</v>
      </c>
      <c r="D16" s="10">
        <f>(C16-Resultados_Simulacion!C2)/Resultados_Simulacion!C2</f>
        <v>0</v>
      </c>
      <c r="E16" s="8">
        <f>Resultados_Simulacion!E16</f>
        <v>4.3014539999999997E-2</v>
      </c>
      <c r="F16" s="10">
        <f>(E16-Resultados_Simulacion!E2)/Resultados_Simulacion!E2</f>
        <v>0</v>
      </c>
      <c r="G16" s="8">
        <f>Resultados_Simulacion!F16</f>
        <v>41.171515335185823</v>
      </c>
      <c r="H16" s="10">
        <f>(G16-Resultados_Simulacion!F2)/Resultados_Simulacion!F2</f>
        <v>2.8270535796682209E-2</v>
      </c>
      <c r="I16" s="8">
        <f>Resultados_Simulacion!H16</f>
        <v>2.108517E-2</v>
      </c>
      <c r="J16" s="10">
        <f>(I16-Resultados_Simulacion!H2)/Resultados_Simulacion!H2</f>
        <v>-0.28151576631680381</v>
      </c>
      <c r="K16" s="8">
        <f>Resultados_Simulacion!I16</f>
        <v>1.713756559931243E-2</v>
      </c>
      <c r="L16" s="10">
        <f>(K16-Resultados_Simulacion!I2)/Resultados_Simulacion!I2</f>
        <v>-0.39744651184333996</v>
      </c>
    </row>
    <row r="17" spans="1:12" x14ac:dyDescent="0.3">
      <c r="A17" s="4">
        <v>66000</v>
      </c>
      <c r="B17" s="4" t="s">
        <v>43</v>
      </c>
      <c r="C17" s="8">
        <f>Resultados_Simulacion!C17</f>
        <v>1.407762</v>
      </c>
      <c r="D17" s="10">
        <f>(C17-Resultados_Simulacion!C2)/Resultados_Simulacion!C2</f>
        <v>0</v>
      </c>
      <c r="E17" s="8">
        <f>Resultados_Simulacion!E17</f>
        <v>4.3014539999999997E-2</v>
      </c>
      <c r="F17" s="10">
        <f>(E17-Resultados_Simulacion!E2)/Resultados_Simulacion!E2</f>
        <v>0</v>
      </c>
      <c r="G17" s="8">
        <f>Resultados_Simulacion!F17</f>
        <v>40.127349840012407</v>
      </c>
      <c r="H17" s="10">
        <f>(G17-Resultados_Simulacion!F2)/Resultados_Simulacion!F2</f>
        <v>2.1921997325055967E-3</v>
      </c>
      <c r="I17" s="8">
        <f>Resultados_Simulacion!H17</f>
        <v>2.1086009999999999E-2</v>
      </c>
      <c r="J17" s="10">
        <f>(I17-Resultados_Simulacion!H2)/Resultados_Simulacion!H2</f>
        <v>-0.2814871430353082</v>
      </c>
      <c r="K17" s="8">
        <f>Resultados_Simulacion!I17</f>
        <v>1.711905776440497E-2</v>
      </c>
      <c r="L17" s="10">
        <f>(K17-Resultados_Simulacion!I2)/Resultados_Simulacion!I2</f>
        <v>-0.39809724373504835</v>
      </c>
    </row>
    <row r="18" spans="1:12" x14ac:dyDescent="0.3">
      <c r="A18" s="4">
        <v>66000</v>
      </c>
      <c r="B18" s="4" t="s">
        <v>45</v>
      </c>
      <c r="C18" s="8">
        <f>Resultados_Simulacion!C18</f>
        <v>1.407762</v>
      </c>
      <c r="D18" s="10">
        <f>(C18-Resultados_Simulacion!C2)/Resultados_Simulacion!C2</f>
        <v>0</v>
      </c>
      <c r="E18" s="8">
        <f>Resultados_Simulacion!E18</f>
        <v>4.3014539999999997E-2</v>
      </c>
      <c r="F18" s="10">
        <f>(E18-Resultados_Simulacion!E2)/Resultados_Simulacion!E2</f>
        <v>0</v>
      </c>
      <c r="G18" s="8">
        <f>Resultados_Simulacion!F18</f>
        <v>40.039575094201261</v>
      </c>
      <c r="H18" s="10">
        <f>(G18-Resultados_Simulacion!F2)/Resultados_Simulacion!F2</f>
        <v>0</v>
      </c>
      <c r="I18" s="8">
        <f>Resultados_Simulacion!H18</f>
        <v>2.934674E-2</v>
      </c>
      <c r="J18" s="10">
        <f>(I18-Resultados_Simulacion!H2)/Resultados_Simulacion!H2</f>
        <v>0</v>
      </c>
      <c r="K18" s="8">
        <f>Resultados_Simulacion!I18</f>
        <v>1.720534949265954E-2</v>
      </c>
      <c r="L18" s="10">
        <f>(K18-Resultados_Simulacion!I2)/Resultados_Simulacion!I2</f>
        <v>-0.39506324327812559</v>
      </c>
    </row>
    <row r="19" spans="1:12" x14ac:dyDescent="0.3">
      <c r="A19" s="4">
        <v>66000</v>
      </c>
      <c r="B19" s="4" t="s">
        <v>47</v>
      </c>
      <c r="C19" s="8">
        <f>Resultados_Simulacion!C19</f>
        <v>1.407762</v>
      </c>
      <c r="D19" s="10">
        <f>(C19-Resultados_Simulacion!C2)/Resultados_Simulacion!C2</f>
        <v>0</v>
      </c>
      <c r="E19" s="8">
        <f>Resultados_Simulacion!E19</f>
        <v>4.3014539999999997E-2</v>
      </c>
      <c r="F19" s="10">
        <f>(E19-Resultados_Simulacion!E2)/Resultados_Simulacion!E2</f>
        <v>0</v>
      </c>
      <c r="G19" s="8">
        <f>Resultados_Simulacion!F19</f>
        <v>40.039575094201261</v>
      </c>
      <c r="H19" s="10">
        <f>(G19-Resultados_Simulacion!F2)/Resultados_Simulacion!F2</f>
        <v>0</v>
      </c>
      <c r="I19" s="8">
        <f>Resultados_Simulacion!H19</f>
        <v>2.934674E-2</v>
      </c>
      <c r="J19" s="10">
        <f>(I19-Resultados_Simulacion!H2)/Resultados_Simulacion!H2</f>
        <v>0</v>
      </c>
      <c r="K19" s="8">
        <f>Resultados_Simulacion!I19</f>
        <v>1.7329521253619969E-2</v>
      </c>
      <c r="L19" s="10">
        <f>(K19-Resultados_Simulacion!I2)/Resultados_Simulacion!I2</f>
        <v>-0.39069738820590555</v>
      </c>
    </row>
    <row r="20" spans="1:12" x14ac:dyDescent="0.3">
      <c r="A20" s="4">
        <v>66000</v>
      </c>
      <c r="B20" s="4" t="s">
        <v>49</v>
      </c>
      <c r="C20" s="8">
        <f>Resultados_Simulacion!C20</f>
        <v>1.407762</v>
      </c>
      <c r="D20" s="10">
        <f>(C20-Resultados_Simulacion!C2)/Resultados_Simulacion!C2</f>
        <v>0</v>
      </c>
      <c r="E20" s="8">
        <f>Resultados_Simulacion!E20</f>
        <v>4.3014539999999997E-2</v>
      </c>
      <c r="F20" s="10">
        <f>(E20-Resultados_Simulacion!E2)/Resultados_Simulacion!E2</f>
        <v>0</v>
      </c>
      <c r="G20" s="8">
        <f>Resultados_Simulacion!F20</f>
        <v>40.039575094201261</v>
      </c>
      <c r="H20" s="10">
        <f>(G20-Resultados_Simulacion!F2)/Resultados_Simulacion!F2</f>
        <v>0</v>
      </c>
      <c r="I20" s="8">
        <f>Resultados_Simulacion!H20</f>
        <v>2.934674E-2</v>
      </c>
      <c r="J20" s="10">
        <f>(I20-Resultados_Simulacion!H2)/Resultados_Simulacion!H2</f>
        <v>0</v>
      </c>
      <c r="K20" s="8">
        <f>Resultados_Simulacion!I20</f>
        <v>1.7563369866850288E-2</v>
      </c>
      <c r="L20" s="10">
        <f>(K20-Resultados_Simulacion!I2)/Resultados_Simulacion!I2</f>
        <v>-0.38247531624440251</v>
      </c>
    </row>
    <row r="21" spans="1:12" x14ac:dyDescent="0.3">
      <c r="A21" s="12">
        <v>73000</v>
      </c>
      <c r="B21" s="12" t="s">
        <v>13</v>
      </c>
      <c r="C21" s="13">
        <f>Resultados_Simulacion!C21</f>
        <v>1.396031</v>
      </c>
      <c r="D21" s="14">
        <f>(C21-Resultados_Simulacion!C21)/Resultados_Simulacion!C21</f>
        <v>0</v>
      </c>
      <c r="E21" s="13">
        <f>Resultados_Simulacion!E21</f>
        <v>4.0619919999999997E-2</v>
      </c>
      <c r="F21" s="14">
        <f>(E21-Resultados_Simulacion!E21)/Resultados_Simulacion!E21</f>
        <v>0</v>
      </c>
      <c r="G21" s="13">
        <f>Resultados_Simulacion!F21</f>
        <v>43.234171899314553</v>
      </c>
      <c r="H21" s="14">
        <f>(G21-Resultados_Simulacion!F21)/Resultados_Simulacion!F21</f>
        <v>0</v>
      </c>
      <c r="I21" s="13">
        <f>Resultados_Simulacion!H21</f>
        <v>2.781256E-2</v>
      </c>
      <c r="J21" s="14">
        <f>(I21-Resultados_Simulacion!H21)/Resultados_Simulacion!H21</f>
        <v>0</v>
      </c>
      <c r="K21" s="13">
        <f>Resultados_Simulacion!I21</f>
        <v>2.5857999543688899E-2</v>
      </c>
      <c r="L21" s="14">
        <f>(K21-Resultados_Simulacion!I21)/Resultados_Simulacion!I21</f>
        <v>0</v>
      </c>
    </row>
    <row r="22" spans="1:12" x14ac:dyDescent="0.3">
      <c r="A22" s="4">
        <v>73000</v>
      </c>
      <c r="B22" s="4" t="s">
        <v>15</v>
      </c>
      <c r="C22" s="8">
        <f>Resultados_Simulacion!C22</f>
        <v>1.2325539999999999</v>
      </c>
      <c r="D22" s="10">
        <f>(C22-Resultados_Simulacion!C21)/Resultados_Simulacion!C21</f>
        <v>-0.11710126780852294</v>
      </c>
      <c r="E22" s="8">
        <f>Resultados_Simulacion!E22</f>
        <v>6.045188E-2</v>
      </c>
      <c r="F22" s="10">
        <f>(E22-Resultados_Simulacion!E21)/Resultados_Simulacion!E21</f>
        <v>0.48823237465755726</v>
      </c>
      <c r="G22" s="8">
        <f>Resultados_Simulacion!F22</f>
        <v>34.919185834278913</v>
      </c>
      <c r="H22" s="10">
        <f>(G22-Resultados_Simulacion!F21)/Resultados_Simulacion!F21</f>
        <v>-0.19232439757143743</v>
      </c>
      <c r="I22" s="8">
        <f>Resultados_Simulacion!H22</f>
        <v>2.7805150000000001E-2</v>
      </c>
      <c r="J22" s="10">
        <f>(I22-Resultados_Simulacion!H21)/Resultados_Simulacion!H21</f>
        <v>-2.6642639152955937E-4</v>
      </c>
      <c r="K22" s="8">
        <f>Resultados_Simulacion!I22</f>
        <v>2.0358693959146228E-2</v>
      </c>
      <c r="L22" s="10">
        <f>(K22-Resultados_Simulacion!I21)/Resultados_Simulacion!I21</f>
        <v>-0.21267328028416155</v>
      </c>
    </row>
    <row r="23" spans="1:12" x14ac:dyDescent="0.3">
      <c r="A23" s="4">
        <v>73000</v>
      </c>
      <c r="B23" s="4" t="s">
        <v>17</v>
      </c>
      <c r="C23" s="8">
        <f>Resultados_Simulacion!C23</f>
        <v>1.3220940000000001</v>
      </c>
      <c r="D23" s="10">
        <f>(C23-Resultados_Simulacion!C21)/Resultados_Simulacion!C21</f>
        <v>-5.2962290951991696E-2</v>
      </c>
      <c r="E23" s="8">
        <f>Resultados_Simulacion!E23</f>
        <v>6.5909170000000003E-2</v>
      </c>
      <c r="F23" s="10">
        <f>(E23-Resultados_Simulacion!E21)/Resultados_Simulacion!E21</f>
        <v>0.62258246692755692</v>
      </c>
      <c r="G23" s="8">
        <f>Resultados_Simulacion!F23</f>
        <v>36.694126350225353</v>
      </c>
      <c r="H23" s="10">
        <f>(G23-Resultados_Simulacion!F21)/Resultados_Simulacion!F21</f>
        <v>-0.15127028602097239</v>
      </c>
      <c r="I23" s="8">
        <f>Resultados_Simulacion!H23</f>
        <v>2.7278779999999999E-2</v>
      </c>
      <c r="J23" s="10">
        <f>(I23-Resultados_Simulacion!H21)/Resultados_Simulacion!H21</f>
        <v>-1.9192048484569599E-2</v>
      </c>
      <c r="K23" s="8">
        <f>Resultados_Simulacion!I23</f>
        <v>1.9975363988407789E-2</v>
      </c>
      <c r="L23" s="10">
        <f>(K23-Resultados_Simulacion!I21)/Resultados_Simulacion!I21</f>
        <v>-0.22749770512378523</v>
      </c>
    </row>
    <row r="24" spans="1:12" x14ac:dyDescent="0.3">
      <c r="A24" s="4">
        <v>73000</v>
      </c>
      <c r="B24" s="4" t="s">
        <v>19</v>
      </c>
      <c r="C24" s="8">
        <f>Resultados_Simulacion!C24</f>
        <v>1.378072</v>
      </c>
      <c r="D24" s="10">
        <f>(C24-Resultados_Simulacion!C21)/Resultados_Simulacion!C21</f>
        <v>-1.2864327511351867E-2</v>
      </c>
      <c r="E24" s="8">
        <f>Resultados_Simulacion!E24</f>
        <v>4.8894189999999997E-2</v>
      </c>
      <c r="F24" s="10">
        <f>(E24-Resultados_Simulacion!E21)/Resultados_Simulacion!E21</f>
        <v>0.2036998103393606</v>
      </c>
      <c r="G24" s="8">
        <f>Resultados_Simulacion!F24</f>
        <v>38.619947168140527</v>
      </c>
      <c r="H24" s="10">
        <f>(G24-Resultados_Simulacion!F21)/Resultados_Simulacion!F21</f>
        <v>-0.10672633540708991</v>
      </c>
      <c r="I24" s="8">
        <f>Resultados_Simulacion!H24</f>
        <v>2.6741439999999998E-2</v>
      </c>
      <c r="J24" s="10">
        <f>(I24-Resultados_Simulacion!H21)/Resultados_Simulacion!H21</f>
        <v>-3.8512096693004955E-2</v>
      </c>
      <c r="K24" s="8">
        <f>Resultados_Simulacion!I24</f>
        <v>1.9541416365415201E-2</v>
      </c>
      <c r="L24" s="10">
        <f>(K24-Resultados_Simulacion!I21)/Resultados_Simulacion!I21</f>
        <v>-0.24427965386886907</v>
      </c>
    </row>
    <row r="25" spans="1:12" x14ac:dyDescent="0.3">
      <c r="A25" s="4">
        <v>73000</v>
      </c>
      <c r="B25" s="4" t="s">
        <v>21</v>
      </c>
      <c r="C25" s="8">
        <f>Resultados_Simulacion!C25</f>
        <v>1.396031</v>
      </c>
      <c r="D25" s="10">
        <f>(C25-Resultados_Simulacion!C21)/Resultados_Simulacion!C21</f>
        <v>0</v>
      </c>
      <c r="E25" s="8">
        <f>Resultados_Simulacion!E25</f>
        <v>4.0619919999999997E-2</v>
      </c>
      <c r="F25" s="10">
        <f>(E25-Resultados_Simulacion!E21)/Resultados_Simulacion!E21</f>
        <v>0</v>
      </c>
      <c r="G25" s="8">
        <f>Resultados_Simulacion!F25</f>
        <v>40.392532461733552</v>
      </c>
      <c r="H25" s="10">
        <f>(G25-Resultados_Simulacion!F21)/Resultados_Simulacion!F21</f>
        <v>-6.5726699801229541E-2</v>
      </c>
      <c r="I25" s="8">
        <f>Resultados_Simulacion!H25</f>
        <v>2.6874720000000001E-2</v>
      </c>
      <c r="J25" s="10">
        <f>(I25-Resultados_Simulacion!H21)/Resultados_Simulacion!H21</f>
        <v>-3.3720017143333759E-2</v>
      </c>
      <c r="K25" s="8">
        <f>Resultados_Simulacion!I25</f>
        <v>1.9100651628119431E-2</v>
      </c>
      <c r="L25" s="10">
        <f>(K25-Resultados_Simulacion!I21)/Resultados_Simulacion!I21</f>
        <v>-0.26132523918381451</v>
      </c>
    </row>
    <row r="26" spans="1:12" x14ac:dyDescent="0.3">
      <c r="A26" s="4">
        <v>73000</v>
      </c>
      <c r="B26" s="4" t="s">
        <v>23</v>
      </c>
      <c r="C26" s="8">
        <f>Resultados_Simulacion!C26</f>
        <v>1.396031</v>
      </c>
      <c r="D26" s="10">
        <f>(C26-Resultados_Simulacion!C21)/Resultados_Simulacion!C21</f>
        <v>0</v>
      </c>
      <c r="E26" s="8">
        <f>Resultados_Simulacion!E26</f>
        <v>4.0619919999999997E-2</v>
      </c>
      <c r="F26" s="10">
        <f>(E26-Resultados_Simulacion!E21)/Resultados_Simulacion!E21</f>
        <v>0</v>
      </c>
      <c r="G26" s="8">
        <f>Resultados_Simulacion!F26</f>
        <v>41.743870022480621</v>
      </c>
      <c r="H26" s="10">
        <f>(G26-Resultados_Simulacion!F21)/Resultados_Simulacion!F21</f>
        <v>-3.4470461937020698E-2</v>
      </c>
      <c r="I26" s="8">
        <f>Resultados_Simulacion!H26</f>
        <v>2.6823099999999999E-2</v>
      </c>
      <c r="J26" s="10">
        <f>(I26-Resultados_Simulacion!H21)/Resultados_Simulacion!H21</f>
        <v>-3.5576013139387422E-2</v>
      </c>
      <c r="K26" s="8">
        <f>Resultados_Simulacion!I26</f>
        <v>1.871126797947769E-2</v>
      </c>
      <c r="L26" s="10">
        <f>(K26-Resultados_Simulacion!I21)/Resultados_Simulacion!I21</f>
        <v>-0.27638377640684486</v>
      </c>
    </row>
    <row r="27" spans="1:12" x14ac:dyDescent="0.3">
      <c r="A27" s="4">
        <v>73000</v>
      </c>
      <c r="B27" s="4" t="s">
        <v>25</v>
      </c>
      <c r="C27" s="8">
        <f>Resultados_Simulacion!C27</f>
        <v>1.396031</v>
      </c>
      <c r="D27" s="10">
        <f>(C27-Resultados_Simulacion!C21)/Resultados_Simulacion!C21</f>
        <v>0</v>
      </c>
      <c r="E27" s="8">
        <f>Resultados_Simulacion!E27</f>
        <v>4.0619919999999997E-2</v>
      </c>
      <c r="F27" s="10">
        <f>(E27-Resultados_Simulacion!E21)/Resultados_Simulacion!E21</f>
        <v>0</v>
      </c>
      <c r="G27" s="8">
        <f>Resultados_Simulacion!F27</f>
        <v>43.458622088106189</v>
      </c>
      <c r="H27" s="10">
        <f>(G27-Resultados_Simulacion!F21)/Resultados_Simulacion!F21</f>
        <v>5.1914996617570047E-3</v>
      </c>
      <c r="I27" s="8">
        <f>Resultados_Simulacion!H27</f>
        <v>2.685237E-2</v>
      </c>
      <c r="J27" s="10">
        <f>(I27-Resultados_Simulacion!H21)/Resultados_Simulacion!H21</f>
        <v>-3.4523610915356218E-2</v>
      </c>
      <c r="K27" s="8">
        <f>Resultados_Simulacion!I27</f>
        <v>1.8252917797559699E-2</v>
      </c>
      <c r="L27" s="10">
        <f>(K27-Resultados_Simulacion!I21)/Resultados_Simulacion!I21</f>
        <v>-0.29410943925804789</v>
      </c>
    </row>
    <row r="28" spans="1:12" x14ac:dyDescent="0.3">
      <c r="A28" s="4">
        <v>73000</v>
      </c>
      <c r="B28" s="4" t="s">
        <v>27</v>
      </c>
      <c r="C28" s="8">
        <f>Resultados_Simulacion!C28</f>
        <v>1.396031</v>
      </c>
      <c r="D28" s="10">
        <f>(C28-Resultados_Simulacion!C21)/Resultados_Simulacion!C21</f>
        <v>0</v>
      </c>
      <c r="E28" s="8">
        <f>Resultados_Simulacion!E28</f>
        <v>4.0619919999999997E-2</v>
      </c>
      <c r="F28" s="10">
        <f>(E28-Resultados_Simulacion!E21)/Resultados_Simulacion!E21</f>
        <v>0</v>
      </c>
      <c r="G28" s="8">
        <f>Resultados_Simulacion!F28</f>
        <v>45.103904504569563</v>
      </c>
      <c r="H28" s="10">
        <f>(G28-Resultados_Simulacion!F21)/Resultados_Simulacion!F21</f>
        <v>4.3246638552701243E-2</v>
      </c>
      <c r="I28" s="8">
        <f>Resultados_Simulacion!H28</f>
        <v>2.5477240000000002E-2</v>
      </c>
      <c r="J28" s="10">
        <f>(I28-Resultados_Simulacion!H21)/Resultados_Simulacion!H21</f>
        <v>-8.3966380656796721E-2</v>
      </c>
      <c r="K28" s="8">
        <f>Resultados_Simulacion!I28</f>
        <v>1.7698904147772931E-2</v>
      </c>
      <c r="L28" s="10">
        <f>(K28-Resultados_Simulacion!I21)/Resultados_Simulacion!I21</f>
        <v>-0.31553467166439564</v>
      </c>
    </row>
    <row r="29" spans="1:12" x14ac:dyDescent="0.3">
      <c r="A29" s="4">
        <v>73000</v>
      </c>
      <c r="B29" s="4" t="s">
        <v>29</v>
      </c>
      <c r="C29" s="8">
        <f>Resultados_Simulacion!C29</f>
        <v>1.396031</v>
      </c>
      <c r="D29" s="10">
        <f>(C29-Resultados_Simulacion!C21)/Resultados_Simulacion!C21</f>
        <v>0</v>
      </c>
      <c r="E29" s="8">
        <f>Resultados_Simulacion!E29</f>
        <v>4.0619919999999997E-2</v>
      </c>
      <c r="F29" s="10">
        <f>(E29-Resultados_Simulacion!E21)/Resultados_Simulacion!E21</f>
        <v>0</v>
      </c>
      <c r="G29" s="8">
        <f>Resultados_Simulacion!F29</f>
        <v>45.672292183349647</v>
      </c>
      <c r="H29" s="10">
        <f>(G29-Resultados_Simulacion!F21)/Resultados_Simulacion!F21</f>
        <v>5.6393361476035311E-2</v>
      </c>
      <c r="I29" s="8">
        <f>Resultados_Simulacion!H29</f>
        <v>2.4297619999999999E-2</v>
      </c>
      <c r="J29" s="10">
        <f>(I29-Resultados_Simulacion!H21)/Resultados_Simulacion!H21</f>
        <v>-0.12637959252941841</v>
      </c>
      <c r="K29" s="8">
        <f>Resultados_Simulacion!I29</f>
        <v>1.7442507515423311E-2</v>
      </c>
      <c r="L29" s="10">
        <f>(K29-Resultados_Simulacion!I21)/Resultados_Simulacion!I21</f>
        <v>-0.32545023500549708</v>
      </c>
    </row>
    <row r="30" spans="1:12" x14ac:dyDescent="0.3">
      <c r="A30" s="4">
        <v>73000</v>
      </c>
      <c r="B30" s="4" t="s">
        <v>31</v>
      </c>
      <c r="C30" s="8">
        <f>Resultados_Simulacion!C30</f>
        <v>1.396031</v>
      </c>
      <c r="D30" s="10">
        <f>(C30-Resultados_Simulacion!C21)/Resultados_Simulacion!C21</f>
        <v>0</v>
      </c>
      <c r="E30" s="8">
        <f>Resultados_Simulacion!E30</f>
        <v>4.0619919999999997E-2</v>
      </c>
      <c r="F30" s="10">
        <f>(E30-Resultados_Simulacion!E21)/Resultados_Simulacion!E21</f>
        <v>0</v>
      </c>
      <c r="G30" s="8">
        <f>Resultados_Simulacion!F30</f>
        <v>46.010601577185</v>
      </c>
      <c r="H30" s="10">
        <f>(G30-Resultados_Simulacion!F21)/Resultados_Simulacion!F21</f>
        <v>6.4218407706207611E-2</v>
      </c>
      <c r="I30" s="8">
        <f>Resultados_Simulacion!H30</f>
        <v>2.3828530000000001E-2</v>
      </c>
      <c r="J30" s="10">
        <f>(I30-Resultados_Simulacion!H21)/Resultados_Simulacion!H21</f>
        <v>-0.14324571344744963</v>
      </c>
      <c r="K30" s="8">
        <f>Resultados_Simulacion!I30</f>
        <v>1.7215516558305711E-2</v>
      </c>
      <c r="L30" s="10">
        <f>(K30-Resultados_Simulacion!I21)/Resultados_Simulacion!I21</f>
        <v>-0.33422859996501697</v>
      </c>
    </row>
    <row r="31" spans="1:12" x14ac:dyDescent="0.3">
      <c r="A31" s="4">
        <v>73000</v>
      </c>
      <c r="B31" s="4" t="s">
        <v>33</v>
      </c>
      <c r="C31" s="8">
        <f>Resultados_Simulacion!C31</f>
        <v>1.396031</v>
      </c>
      <c r="D31" s="10">
        <f>(C31-Resultados_Simulacion!C21)/Resultados_Simulacion!C21</f>
        <v>0</v>
      </c>
      <c r="E31" s="8">
        <f>Resultados_Simulacion!E31</f>
        <v>4.0619919999999997E-2</v>
      </c>
      <c r="F31" s="10">
        <f>(E31-Resultados_Simulacion!E21)/Resultados_Simulacion!E21</f>
        <v>0</v>
      </c>
      <c r="G31" s="8">
        <f>Resultados_Simulacion!F31</f>
        <v>46.192795458393867</v>
      </c>
      <c r="H31" s="10">
        <f>(G31-Resultados_Simulacion!F21)/Resultados_Simulacion!F21</f>
        <v>6.8432525224941809E-2</v>
      </c>
      <c r="I31" s="8">
        <f>Resultados_Simulacion!H31</f>
        <v>2.24414E-2</v>
      </c>
      <c r="J31" s="10">
        <f>(I31-Resultados_Simulacion!H21)/Resultados_Simulacion!H21</f>
        <v>-0.19311994293225793</v>
      </c>
      <c r="K31" s="8">
        <f>Resultados_Simulacion!I31</f>
        <v>1.684928048790529E-2</v>
      </c>
      <c r="L31" s="10">
        <f>(K31-Resultados_Simulacion!I21)/Resultados_Simulacion!I21</f>
        <v>-0.34839195663851519</v>
      </c>
    </row>
    <row r="32" spans="1:12" x14ac:dyDescent="0.3">
      <c r="A32" s="4">
        <v>73000</v>
      </c>
      <c r="B32" s="4" t="s">
        <v>35</v>
      </c>
      <c r="C32" s="8">
        <f>Resultados_Simulacion!C32</f>
        <v>1.396031</v>
      </c>
      <c r="D32" s="10">
        <f>(C32-Resultados_Simulacion!C21)/Resultados_Simulacion!C21</f>
        <v>0</v>
      </c>
      <c r="E32" s="8">
        <f>Resultados_Simulacion!E32</f>
        <v>4.0619919999999997E-2</v>
      </c>
      <c r="F32" s="10">
        <f>(E32-Resultados_Simulacion!E21)/Resultados_Simulacion!E21</f>
        <v>0</v>
      </c>
      <c r="G32" s="8">
        <f>Resultados_Simulacion!F32</f>
        <v>46.050969376950448</v>
      </c>
      <c r="H32" s="10">
        <f>(G32-Resultados_Simulacion!F21)/Resultados_Simulacion!F21</f>
        <v>6.5152108942800241E-2</v>
      </c>
      <c r="I32" s="8">
        <f>Resultados_Simulacion!H32</f>
        <v>2.148545E-2</v>
      </c>
      <c r="J32" s="10">
        <f>(I32-Resultados_Simulacion!H21)/Resultados_Simulacion!H21</f>
        <v>-0.22749110473829093</v>
      </c>
      <c r="K32" s="8">
        <f>Resultados_Simulacion!I32</f>
        <v>1.669628219419356E-2</v>
      </c>
      <c r="L32" s="10">
        <f>(K32-Resultados_Simulacion!I21)/Resultados_Simulacion!I21</f>
        <v>-0.35430882168653366</v>
      </c>
    </row>
    <row r="33" spans="1:12" x14ac:dyDescent="0.3">
      <c r="A33" s="4">
        <v>73000</v>
      </c>
      <c r="B33" s="4" t="s">
        <v>37</v>
      </c>
      <c r="C33" s="8">
        <f>Resultados_Simulacion!C33</f>
        <v>1.396031</v>
      </c>
      <c r="D33" s="10">
        <f>(C33-Resultados_Simulacion!C21)/Resultados_Simulacion!C21</f>
        <v>0</v>
      </c>
      <c r="E33" s="8">
        <f>Resultados_Simulacion!E33</f>
        <v>4.0619919999999997E-2</v>
      </c>
      <c r="F33" s="10">
        <f>(E33-Resultados_Simulacion!E21)/Resultados_Simulacion!E21</f>
        <v>0</v>
      </c>
      <c r="G33" s="8">
        <f>Resultados_Simulacion!F33</f>
        <v>45.799910562325238</v>
      </c>
      <c r="H33" s="10">
        <f>(G33-Resultados_Simulacion!F21)/Resultados_Simulacion!F21</f>
        <v>5.9345155701972914E-2</v>
      </c>
      <c r="I33" s="8">
        <f>Resultados_Simulacion!H33</f>
        <v>2.1199119999999998E-2</v>
      </c>
      <c r="J33" s="10">
        <f>(I33-Resultados_Simulacion!H21)/Resultados_Simulacion!H21</f>
        <v>-0.23778609376483148</v>
      </c>
      <c r="K33" s="8">
        <f>Resultados_Simulacion!I33</f>
        <v>1.6560085759183531E-2</v>
      </c>
      <c r="L33" s="10">
        <f>(K33-Resultados_Simulacion!I21)/Resultados_Simulacion!I21</f>
        <v>-0.35957591262216138</v>
      </c>
    </row>
    <row r="34" spans="1:12" x14ac:dyDescent="0.3">
      <c r="A34" s="4">
        <v>73000</v>
      </c>
      <c r="B34" s="4" t="s">
        <v>39</v>
      </c>
      <c r="C34" s="8">
        <f>Resultados_Simulacion!C34</f>
        <v>1.396031</v>
      </c>
      <c r="D34" s="10">
        <f>(C34-Resultados_Simulacion!C21)/Resultados_Simulacion!C21</f>
        <v>0</v>
      </c>
      <c r="E34" s="8">
        <f>Resultados_Simulacion!E34</f>
        <v>4.0619919999999997E-2</v>
      </c>
      <c r="F34" s="10">
        <f>(E34-Resultados_Simulacion!E21)/Resultados_Simulacion!E21</f>
        <v>0</v>
      </c>
      <c r="G34" s="8">
        <f>Resultados_Simulacion!F34</f>
        <v>44.698868247656378</v>
      </c>
      <c r="H34" s="10">
        <f>(G34-Resultados_Simulacion!F21)/Resultados_Simulacion!F21</f>
        <v>3.387820985106104E-2</v>
      </c>
      <c r="I34" s="8">
        <f>Resultados_Simulacion!H34</f>
        <v>2.0133379999999999E-2</v>
      </c>
      <c r="J34" s="10">
        <f>(I34-Resultados_Simulacion!H21)/Resultados_Simulacion!H21</f>
        <v>-0.27610475267289314</v>
      </c>
      <c r="K34" s="8">
        <f>Resultados_Simulacion!I34</f>
        <v>1.634735089472002E-2</v>
      </c>
      <c r="L34" s="10">
        <f>(K34-Resultados_Simulacion!I21)/Resultados_Simulacion!I21</f>
        <v>-0.36780295524794843</v>
      </c>
    </row>
    <row r="35" spans="1:12" x14ac:dyDescent="0.3">
      <c r="A35" s="4">
        <v>73000</v>
      </c>
      <c r="B35" s="4" t="s">
        <v>41</v>
      </c>
      <c r="C35" s="8">
        <f>Resultados_Simulacion!C35</f>
        <v>1.396031</v>
      </c>
      <c r="D35" s="10">
        <f>(C35-Resultados_Simulacion!C21)/Resultados_Simulacion!C21</f>
        <v>0</v>
      </c>
      <c r="E35" s="8">
        <f>Resultados_Simulacion!E35</f>
        <v>4.0619919999999997E-2</v>
      </c>
      <c r="F35" s="10">
        <f>(E35-Resultados_Simulacion!E21)/Resultados_Simulacion!E21</f>
        <v>0</v>
      </c>
      <c r="G35" s="8">
        <f>Resultados_Simulacion!F35</f>
        <v>43.78097634384153</v>
      </c>
      <c r="H35" s="10">
        <f>(G35-Resultados_Simulacion!F21)/Resultados_Simulacion!F21</f>
        <v>1.2647505908067272E-2</v>
      </c>
      <c r="I35" s="8">
        <f>Resultados_Simulacion!H35</f>
        <v>2.0054820000000001E-2</v>
      </c>
      <c r="J35" s="10">
        <f>(I35-Resultados_Simulacion!H21)/Resultados_Simulacion!H21</f>
        <v>-0.27892937579280724</v>
      </c>
      <c r="K35" s="8">
        <f>Resultados_Simulacion!I35</f>
        <v>1.6280797539088891E-2</v>
      </c>
      <c r="L35" s="10">
        <f>(K35-Resultados_Simulacion!I21)/Resultados_Simulacion!I21</f>
        <v>-0.37037675665585246</v>
      </c>
    </row>
    <row r="36" spans="1:12" x14ac:dyDescent="0.3">
      <c r="A36" s="4">
        <v>73000</v>
      </c>
      <c r="B36" s="4" t="s">
        <v>43</v>
      </c>
      <c r="C36" s="8">
        <f>Resultados_Simulacion!C36</f>
        <v>1.396031</v>
      </c>
      <c r="D36" s="10">
        <f>(C36-Resultados_Simulacion!C21)/Resultados_Simulacion!C21</f>
        <v>0</v>
      </c>
      <c r="E36" s="8">
        <f>Resultados_Simulacion!E36</f>
        <v>4.0619919999999997E-2</v>
      </c>
      <c r="F36" s="10">
        <f>(E36-Resultados_Simulacion!E21)/Resultados_Simulacion!E21</f>
        <v>0</v>
      </c>
      <c r="G36" s="8">
        <f>Resultados_Simulacion!F36</f>
        <v>43.234171899314553</v>
      </c>
      <c r="H36" s="10">
        <f>(G36-Resultados_Simulacion!F21)/Resultados_Simulacion!F21</f>
        <v>0</v>
      </c>
      <c r="I36" s="8">
        <f>Resultados_Simulacion!H36</f>
        <v>2.781256E-2</v>
      </c>
      <c r="J36" s="10">
        <f>(I36-Resultados_Simulacion!H21)/Resultados_Simulacion!H21</f>
        <v>0</v>
      </c>
      <c r="K36" s="8">
        <f>Resultados_Simulacion!I36</f>
        <v>1.6246424778260271E-2</v>
      </c>
      <c r="L36" s="10">
        <f>(K36-Resultados_Simulacion!I21)/Resultados_Simulacion!I21</f>
        <v>-0.37170604590618855</v>
      </c>
    </row>
    <row r="37" spans="1:12" x14ac:dyDescent="0.3">
      <c r="A37" s="4">
        <v>73000</v>
      </c>
      <c r="B37" s="4" t="s">
        <v>45</v>
      </c>
      <c r="C37" s="8">
        <f>Resultados_Simulacion!C37</f>
        <v>1.396031</v>
      </c>
      <c r="D37" s="10">
        <f>(C37-Resultados_Simulacion!C21)/Resultados_Simulacion!C21</f>
        <v>0</v>
      </c>
      <c r="E37" s="8">
        <f>Resultados_Simulacion!E37</f>
        <v>4.0619919999999997E-2</v>
      </c>
      <c r="F37" s="10">
        <f>(E37-Resultados_Simulacion!E21)/Resultados_Simulacion!E21</f>
        <v>0</v>
      </c>
      <c r="G37" s="8">
        <f>Resultados_Simulacion!F37</f>
        <v>43.234171899314553</v>
      </c>
      <c r="H37" s="10">
        <f>(G37-Resultados_Simulacion!F21)/Resultados_Simulacion!F21</f>
        <v>0</v>
      </c>
      <c r="I37" s="8">
        <f>Resultados_Simulacion!H37</f>
        <v>2.781256E-2</v>
      </c>
      <c r="J37" s="10">
        <f>(I37-Resultados_Simulacion!H21)/Resultados_Simulacion!H21</f>
        <v>0</v>
      </c>
      <c r="K37" s="8">
        <f>Resultados_Simulacion!I37</f>
        <v>1.629094199586326E-2</v>
      </c>
      <c r="L37" s="10">
        <f>(K37-Resultados_Simulacion!I21)/Resultados_Simulacion!I21</f>
        <v>-0.36998444259624286</v>
      </c>
    </row>
    <row r="38" spans="1:12" x14ac:dyDescent="0.3">
      <c r="A38" s="4">
        <v>73000</v>
      </c>
      <c r="B38" s="4" t="s">
        <v>47</v>
      </c>
      <c r="C38" s="8">
        <f>Resultados_Simulacion!C38</f>
        <v>1.396031</v>
      </c>
      <c r="D38" s="10">
        <f>(C38-Resultados_Simulacion!C21)/Resultados_Simulacion!C21</f>
        <v>0</v>
      </c>
      <c r="E38" s="8">
        <f>Resultados_Simulacion!E38</f>
        <v>4.0619919999999997E-2</v>
      </c>
      <c r="F38" s="10">
        <f>(E38-Resultados_Simulacion!E21)/Resultados_Simulacion!E21</f>
        <v>0</v>
      </c>
      <c r="G38" s="8">
        <f>Resultados_Simulacion!F38</f>
        <v>43.234171899314553</v>
      </c>
      <c r="H38" s="10">
        <f>(G38-Resultados_Simulacion!F21)/Resultados_Simulacion!F21</f>
        <v>0</v>
      </c>
      <c r="I38" s="8">
        <f>Resultados_Simulacion!H38</f>
        <v>2.781256E-2</v>
      </c>
      <c r="J38" s="10">
        <f>(I38-Resultados_Simulacion!H21)/Resultados_Simulacion!H21</f>
        <v>0</v>
      </c>
      <c r="K38" s="8">
        <f>Resultados_Simulacion!I38</f>
        <v>1.638572281684127E-2</v>
      </c>
      <c r="L38" s="10">
        <f>(K38-Resultados_Simulacion!I21)/Resultados_Simulacion!I21</f>
        <v>-0.3663190074252865</v>
      </c>
    </row>
    <row r="39" spans="1:12" x14ac:dyDescent="0.3">
      <c r="A39" s="4">
        <v>73000</v>
      </c>
      <c r="B39" s="4" t="s">
        <v>49</v>
      </c>
      <c r="C39" s="8">
        <f>Resultados_Simulacion!C39</f>
        <v>1.396031</v>
      </c>
      <c r="D39" s="10">
        <f>(C39-Resultados_Simulacion!C21)/Resultados_Simulacion!C21</f>
        <v>0</v>
      </c>
      <c r="E39" s="8">
        <f>Resultados_Simulacion!E39</f>
        <v>4.0619919999999997E-2</v>
      </c>
      <c r="F39" s="10">
        <f>(E39-Resultados_Simulacion!E21)/Resultados_Simulacion!E21</f>
        <v>0</v>
      </c>
      <c r="G39" s="8">
        <f>Resultados_Simulacion!F39</f>
        <v>43.234171899314553</v>
      </c>
      <c r="H39" s="10">
        <f>(G39-Resultados_Simulacion!F21)/Resultados_Simulacion!F21</f>
        <v>0</v>
      </c>
      <c r="I39" s="8">
        <f>Resultados_Simulacion!H39</f>
        <v>2.781256E-2</v>
      </c>
      <c r="J39" s="10">
        <f>(I39-Resultados_Simulacion!H21)/Resultados_Simulacion!H21</f>
        <v>0</v>
      </c>
      <c r="K39" s="8">
        <f>Resultados_Simulacion!I39</f>
        <v>1.657651590036863E-2</v>
      </c>
      <c r="L39" s="10">
        <f>(K39-Resultados_Simulacion!I21)/Resultados_Simulacion!I21</f>
        <v>-0.3589405138490529</v>
      </c>
    </row>
    <row r="40" spans="1:12" x14ac:dyDescent="0.3">
      <c r="A40" s="12">
        <v>79000</v>
      </c>
      <c r="B40" s="12" t="s">
        <v>13</v>
      </c>
      <c r="C40" s="13">
        <f>Resultados_Simulacion!C40</f>
        <v>1.3867119999999999</v>
      </c>
      <c r="D40" s="14">
        <f>(C40-Resultados_Simulacion!C40)/Resultados_Simulacion!C40</f>
        <v>0</v>
      </c>
      <c r="E40" s="13">
        <f>Resultados_Simulacion!E40</f>
        <v>3.8846499999999999E-2</v>
      </c>
      <c r="F40" s="14">
        <f>(E40-Resultados_Simulacion!E40)/Resultados_Simulacion!E40</f>
        <v>0</v>
      </c>
      <c r="G40" s="13">
        <f>Resultados_Simulacion!F40</f>
        <v>45.913696478570458</v>
      </c>
      <c r="H40" s="14">
        <f>(G40-Resultados_Simulacion!F40)/Resultados_Simulacion!F40</f>
        <v>0</v>
      </c>
      <c r="I40" s="13">
        <f>Resultados_Simulacion!H40</f>
        <v>2.528263E-2</v>
      </c>
      <c r="J40" s="14">
        <f>(I40-Resultados_Simulacion!H40)/Resultados_Simulacion!H40</f>
        <v>0</v>
      </c>
      <c r="K40" s="13">
        <f>Resultados_Simulacion!I40</f>
        <v>2.3353297325055752E-2</v>
      </c>
      <c r="L40" s="14">
        <f>(K40-Resultados_Simulacion!I40)/Resultados_Simulacion!I40</f>
        <v>0</v>
      </c>
    </row>
    <row r="41" spans="1:12" x14ac:dyDescent="0.3">
      <c r="A41" s="4">
        <v>79000</v>
      </c>
      <c r="B41" s="4" t="s">
        <v>15</v>
      </c>
      <c r="C41" s="8">
        <f>Resultados_Simulacion!C41</f>
        <v>1.25745</v>
      </c>
      <c r="D41" s="10">
        <f>(C41-Resultados_Simulacion!C40)/Resultados_Simulacion!C40</f>
        <v>-9.3214741056542372E-2</v>
      </c>
      <c r="E41" s="8">
        <f>Resultados_Simulacion!E41</f>
        <v>5.70687E-2</v>
      </c>
      <c r="F41" s="10">
        <f>(E41-Resultados_Simulacion!E40)/Resultados_Simulacion!E40</f>
        <v>0.46908215669365327</v>
      </c>
      <c r="G41" s="8">
        <f>Resultados_Simulacion!F41</f>
        <v>36.674034460180962</v>
      </c>
      <c r="H41" s="10">
        <f>(G41-Resultados_Simulacion!F40)/Resultados_Simulacion!F40</f>
        <v>-0.20123977651640337</v>
      </c>
      <c r="I41" s="8">
        <f>Resultados_Simulacion!H41</f>
        <v>2.7308039999999999E-2</v>
      </c>
      <c r="J41" s="10">
        <f>(I41-Resultados_Simulacion!H40)/Resultados_Simulacion!H40</f>
        <v>8.0110732150887709E-2</v>
      </c>
      <c r="K41" s="8">
        <f>Resultados_Simulacion!I41</f>
        <v>1.959467694800816E-2</v>
      </c>
      <c r="L41" s="10">
        <f>(K41-Resultados_Simulacion!I40)/Resultados_Simulacion!I40</f>
        <v>-0.16094602508293199</v>
      </c>
    </row>
    <row r="42" spans="1:12" x14ac:dyDescent="0.3">
      <c r="A42" s="4">
        <v>79000</v>
      </c>
      <c r="B42" s="4" t="s">
        <v>17</v>
      </c>
      <c r="C42" s="8">
        <f>Resultados_Simulacion!C42</f>
        <v>1.3253200000000001</v>
      </c>
      <c r="D42" s="10">
        <f>(C42-Resultados_Simulacion!C40)/Resultados_Simulacion!C40</f>
        <v>-4.4271629581340531E-2</v>
      </c>
      <c r="E42" s="8">
        <f>Resultados_Simulacion!E42</f>
        <v>6.1199370000000003E-2</v>
      </c>
      <c r="F42" s="10">
        <f>(E42-Resultados_Simulacion!E40)/Resultados_Simulacion!E40</f>
        <v>0.57541528837861855</v>
      </c>
      <c r="G42" s="8">
        <f>Resultados_Simulacion!F42</f>
        <v>38.630919176806557</v>
      </c>
      <c r="H42" s="10">
        <f>(G42-Resultados_Simulacion!F40)/Resultados_Simulacion!F40</f>
        <v>-0.15861884057109255</v>
      </c>
      <c r="I42" s="8">
        <f>Resultados_Simulacion!H42</f>
        <v>2.672859E-2</v>
      </c>
      <c r="J42" s="10">
        <f>(I42-Resultados_Simulacion!H40)/Resultados_Simulacion!H40</f>
        <v>5.7191834868445236E-2</v>
      </c>
      <c r="K42" s="8">
        <f>Resultados_Simulacion!I42</f>
        <v>1.921686627908532E-2</v>
      </c>
      <c r="L42" s="10">
        <f>(K42-Resultados_Simulacion!I40)/Resultados_Simulacion!I40</f>
        <v>-0.1771240689653043</v>
      </c>
    </row>
    <row r="43" spans="1:12" x14ac:dyDescent="0.3">
      <c r="A43" s="4">
        <v>79000</v>
      </c>
      <c r="B43" s="4" t="s">
        <v>19</v>
      </c>
      <c r="C43" s="8">
        <f>Resultados_Simulacion!C43</f>
        <v>1.3765480000000001</v>
      </c>
      <c r="D43" s="10">
        <f>(C43-Resultados_Simulacion!C40)/Resultados_Simulacion!C40</f>
        <v>-7.3295680718129218E-3</v>
      </c>
      <c r="E43" s="8">
        <f>Resultados_Simulacion!E43</f>
        <v>4.550129E-2</v>
      </c>
      <c r="F43" s="10">
        <f>(E43-Resultados_Simulacion!E40)/Resultados_Simulacion!E40</f>
        <v>0.17130989921871986</v>
      </c>
      <c r="G43" s="8">
        <f>Resultados_Simulacion!F43</f>
        <v>40.737478650162501</v>
      </c>
      <c r="H43" s="10">
        <f>(G43-Resultados_Simulacion!F40)/Resultados_Simulacion!F40</f>
        <v>-0.11273798943249713</v>
      </c>
      <c r="I43" s="8">
        <f>Resultados_Simulacion!H43</f>
        <v>2.6147739999999999E-2</v>
      </c>
      <c r="J43" s="10">
        <f>(I43-Resultados_Simulacion!H40)/Resultados_Simulacion!H40</f>
        <v>3.4217563599989349E-2</v>
      </c>
      <c r="K43" s="8">
        <f>Resultados_Simulacion!I43</f>
        <v>1.8789875735931091E-2</v>
      </c>
      <c r="L43" s="10">
        <f>(K43-Resultados_Simulacion!I40)/Resultados_Simulacion!I40</f>
        <v>-0.19540801992995505</v>
      </c>
    </row>
    <row r="44" spans="1:12" x14ac:dyDescent="0.3">
      <c r="A44" s="4">
        <v>79000</v>
      </c>
      <c r="B44" s="4" t="s">
        <v>21</v>
      </c>
      <c r="C44" s="8">
        <f>Resultados_Simulacion!C44</f>
        <v>1.3867119999999999</v>
      </c>
      <c r="D44" s="10">
        <f>(C44-Resultados_Simulacion!C40)/Resultados_Simulacion!C40</f>
        <v>0</v>
      </c>
      <c r="E44" s="8">
        <f>Resultados_Simulacion!E44</f>
        <v>3.8846499999999999E-2</v>
      </c>
      <c r="F44" s="10">
        <f>(E44-Resultados_Simulacion!E40)/Resultados_Simulacion!E40</f>
        <v>0</v>
      </c>
      <c r="G44" s="8">
        <f>Resultados_Simulacion!F44</f>
        <v>42.634141950862208</v>
      </c>
      <c r="H44" s="10">
        <f>(G44-Resultados_Simulacion!F40)/Resultados_Simulacion!F40</f>
        <v>-7.1428675520363152E-2</v>
      </c>
      <c r="I44" s="8">
        <f>Resultados_Simulacion!H44</f>
        <v>2.5775679999999999E-2</v>
      </c>
      <c r="J44" s="10">
        <f>(I44-Resultados_Simulacion!H40)/Resultados_Simulacion!H40</f>
        <v>1.9501531288477439E-2</v>
      </c>
      <c r="K44" s="8">
        <f>Resultados_Simulacion!I44</f>
        <v>1.8356084990457822E-2</v>
      </c>
      <c r="L44" s="10">
        <f>(K44-Resultados_Simulacion!I40)/Resultados_Simulacion!I40</f>
        <v>-0.21398315899641379</v>
      </c>
    </row>
    <row r="45" spans="1:12" x14ac:dyDescent="0.3">
      <c r="A45" s="4">
        <v>79000</v>
      </c>
      <c r="B45" s="4" t="s">
        <v>23</v>
      </c>
      <c r="C45" s="8">
        <f>Resultados_Simulacion!C45</f>
        <v>1.3867119999999999</v>
      </c>
      <c r="D45" s="10">
        <f>(C45-Resultados_Simulacion!C40)/Resultados_Simulacion!C40</f>
        <v>0</v>
      </c>
      <c r="E45" s="8">
        <f>Resultados_Simulacion!E45</f>
        <v>3.8846499999999999E-2</v>
      </c>
      <c r="F45" s="10">
        <f>(E45-Resultados_Simulacion!E40)/Resultados_Simulacion!E40</f>
        <v>0</v>
      </c>
      <c r="G45" s="8">
        <f>Resultados_Simulacion!F45</f>
        <v>44.036462859936002</v>
      </c>
      <c r="H45" s="10">
        <f>(G45-Resultados_Simulacion!F40)/Resultados_Simulacion!F40</f>
        <v>-4.0886135567643249E-2</v>
      </c>
      <c r="I45" s="8">
        <f>Resultados_Simulacion!H45</f>
        <v>2.5716030000000001E-2</v>
      </c>
      <c r="J45" s="10">
        <f>(I45-Resultados_Simulacion!H40)/Resultados_Simulacion!H40</f>
        <v>1.7142203955838473E-2</v>
      </c>
      <c r="K45" s="8">
        <f>Resultados_Simulacion!I45</f>
        <v>1.797123065961493E-2</v>
      </c>
      <c r="L45" s="10">
        <f>(K45-Resultados_Simulacion!I40)/Resultados_Simulacion!I40</f>
        <v>-0.23046281604381419</v>
      </c>
    </row>
    <row r="46" spans="1:12" x14ac:dyDescent="0.3">
      <c r="A46" s="4">
        <v>79000</v>
      </c>
      <c r="B46" s="4" t="s">
        <v>25</v>
      </c>
      <c r="C46" s="8">
        <f>Resultados_Simulacion!C46</f>
        <v>1.3867119999999999</v>
      </c>
      <c r="D46" s="10">
        <f>(C46-Resultados_Simulacion!C40)/Resultados_Simulacion!C40</f>
        <v>0</v>
      </c>
      <c r="E46" s="8">
        <f>Resultados_Simulacion!E46</f>
        <v>3.8846499999999999E-2</v>
      </c>
      <c r="F46" s="10">
        <f>(E46-Resultados_Simulacion!E40)/Resultados_Simulacion!E40</f>
        <v>0</v>
      </c>
      <c r="G46" s="8">
        <f>Resultados_Simulacion!F46</f>
        <v>45.694652189771048</v>
      </c>
      <c r="H46" s="10">
        <f>(G46-Resultados_Simulacion!F40)/Resultados_Simulacion!F40</f>
        <v>-4.7707831344323409E-3</v>
      </c>
      <c r="I46" s="8">
        <f>Resultados_Simulacion!H46</f>
        <v>2.5251269999999999E-2</v>
      </c>
      <c r="J46" s="10">
        <f>(I46-Resultados_Simulacion!H40)/Resultados_Simulacion!H40</f>
        <v>-1.240377286698461E-3</v>
      </c>
      <c r="K46" s="8">
        <f>Resultados_Simulacion!I46</f>
        <v>1.7521944861633939E-2</v>
      </c>
      <c r="L46" s="10">
        <f>(K46-Resultados_Simulacion!I40)/Resultados_Simulacion!I40</f>
        <v>-0.24970146109369126</v>
      </c>
    </row>
    <row r="47" spans="1:12" x14ac:dyDescent="0.3">
      <c r="A47" s="4">
        <v>79000</v>
      </c>
      <c r="B47" s="4" t="s">
        <v>27</v>
      </c>
      <c r="C47" s="8">
        <f>Resultados_Simulacion!C47</f>
        <v>1.3867119999999999</v>
      </c>
      <c r="D47" s="10">
        <f>(C47-Resultados_Simulacion!C40)/Resultados_Simulacion!C40</f>
        <v>0</v>
      </c>
      <c r="E47" s="8">
        <f>Resultados_Simulacion!E47</f>
        <v>3.8846499999999999E-2</v>
      </c>
      <c r="F47" s="10">
        <f>(E47-Resultados_Simulacion!E40)/Resultados_Simulacion!E40</f>
        <v>0</v>
      </c>
      <c r="G47" s="8">
        <f>Resultados_Simulacion!F47</f>
        <v>47.311929991919513</v>
      </c>
      <c r="H47" s="10">
        <f>(G47-Resultados_Simulacion!F40)/Resultados_Simulacion!F40</f>
        <v>3.0453516501370348E-2</v>
      </c>
      <c r="I47" s="8">
        <f>Resultados_Simulacion!H47</f>
        <v>2.3921810000000002E-2</v>
      </c>
      <c r="J47" s="10">
        <f>(I47-Resultados_Simulacion!H40)/Resultados_Simulacion!H40</f>
        <v>-5.3824305461892166E-2</v>
      </c>
      <c r="K47" s="8">
        <f>Resultados_Simulacion!I47</f>
        <v>1.698329195644268E-2</v>
      </c>
      <c r="L47" s="10">
        <f>(K47-Resultados_Simulacion!I40)/Resultados_Simulacion!I40</f>
        <v>-0.27276685086258434</v>
      </c>
    </row>
    <row r="48" spans="1:12" x14ac:dyDescent="0.3">
      <c r="A48" s="4">
        <v>79000</v>
      </c>
      <c r="B48" s="4" t="s">
        <v>29</v>
      </c>
      <c r="C48" s="8">
        <f>Resultados_Simulacion!C48</f>
        <v>1.3867119999999999</v>
      </c>
      <c r="D48" s="10">
        <f>(C48-Resultados_Simulacion!C40)/Resultados_Simulacion!C40</f>
        <v>0</v>
      </c>
      <c r="E48" s="8">
        <f>Resultados_Simulacion!E48</f>
        <v>3.8846499999999999E-2</v>
      </c>
      <c r="F48" s="10">
        <f>(E48-Resultados_Simulacion!E40)/Resultados_Simulacion!E40</f>
        <v>0</v>
      </c>
      <c r="G48" s="8">
        <f>Resultados_Simulacion!F48</f>
        <v>47.883383745256509</v>
      </c>
      <c r="H48" s="10">
        <f>(G48-Resultados_Simulacion!F40)/Resultados_Simulacion!F40</f>
        <v>4.2899775399381619E-2</v>
      </c>
      <c r="I48" s="8">
        <f>Resultados_Simulacion!H48</f>
        <v>2.3374099999999998E-2</v>
      </c>
      <c r="J48" s="10">
        <f>(I48-Resultados_Simulacion!H40)/Resultados_Simulacion!H40</f>
        <v>-7.5487795375718508E-2</v>
      </c>
      <c r="K48" s="8">
        <f>Resultados_Simulacion!I48</f>
        <v>1.673317041246028E-2</v>
      </c>
      <c r="L48" s="10">
        <f>(K48-Resultados_Simulacion!I40)/Resultados_Simulacion!I40</f>
        <v>-0.28347718184929449</v>
      </c>
    </row>
    <row r="49" spans="1:12" x14ac:dyDescent="0.3">
      <c r="A49" s="4">
        <v>79000</v>
      </c>
      <c r="B49" s="4" t="s">
        <v>31</v>
      </c>
      <c r="C49" s="8">
        <f>Resultados_Simulacion!C49</f>
        <v>1.3867119999999999</v>
      </c>
      <c r="D49" s="10">
        <f>(C49-Resultados_Simulacion!C40)/Resultados_Simulacion!C40</f>
        <v>0</v>
      </c>
      <c r="E49" s="8">
        <f>Resultados_Simulacion!E49</f>
        <v>3.8846499999999999E-2</v>
      </c>
      <c r="F49" s="10">
        <f>(E49-Resultados_Simulacion!E40)/Resultados_Simulacion!E40</f>
        <v>0</v>
      </c>
      <c r="G49" s="8">
        <f>Resultados_Simulacion!F49</f>
        <v>48.238896299169497</v>
      </c>
      <c r="H49" s="10">
        <f>(G49-Resultados_Simulacion!F40)/Resultados_Simulacion!F40</f>
        <v>5.0642836428652437E-2</v>
      </c>
      <c r="I49" s="8">
        <f>Resultados_Simulacion!H49</f>
        <v>2.232634E-2</v>
      </c>
      <c r="J49" s="10">
        <f>(I49-Resultados_Simulacion!H40)/Resultados_Simulacion!H40</f>
        <v>-0.11692968650808877</v>
      </c>
      <c r="K49" s="8">
        <f>Resultados_Simulacion!I49</f>
        <v>1.651009679835154E-2</v>
      </c>
      <c r="L49" s="10">
        <f>(K49-Resultados_Simulacion!I40)/Resultados_Simulacion!I40</f>
        <v>-0.29302930680209099</v>
      </c>
    </row>
    <row r="50" spans="1:12" x14ac:dyDescent="0.3">
      <c r="A50" s="4">
        <v>79000</v>
      </c>
      <c r="B50" s="4" t="s">
        <v>33</v>
      </c>
      <c r="C50" s="8">
        <f>Resultados_Simulacion!C50</f>
        <v>1.3867119999999999</v>
      </c>
      <c r="D50" s="10">
        <f>(C50-Resultados_Simulacion!C40)/Resultados_Simulacion!C40</f>
        <v>0</v>
      </c>
      <c r="E50" s="8">
        <f>Resultados_Simulacion!E50</f>
        <v>3.8846499999999999E-2</v>
      </c>
      <c r="F50" s="10">
        <f>(E50-Resultados_Simulacion!E40)/Resultados_Simulacion!E40</f>
        <v>0</v>
      </c>
      <c r="G50" s="8">
        <f>Resultados_Simulacion!F50</f>
        <v>48.443931059282953</v>
      </c>
      <c r="H50" s="10">
        <f>(G50-Resultados_Simulacion!F40)/Resultados_Simulacion!F40</f>
        <v>5.5108492122681624E-2</v>
      </c>
      <c r="I50" s="8">
        <f>Resultados_Simulacion!H50</f>
        <v>2.096758E-2</v>
      </c>
      <c r="J50" s="10">
        <f>(I50-Resultados_Simulacion!H40)/Resultados_Simulacion!H40</f>
        <v>-0.1706725131048471</v>
      </c>
      <c r="K50" s="8">
        <f>Resultados_Simulacion!I50</f>
        <v>1.6144844616633122E-2</v>
      </c>
      <c r="L50" s="10">
        <f>(K50-Resultados_Simulacion!I40)/Resultados_Simulacion!I40</f>
        <v>-0.30866958991219973</v>
      </c>
    </row>
    <row r="51" spans="1:12" x14ac:dyDescent="0.3">
      <c r="A51" s="4">
        <v>79000</v>
      </c>
      <c r="B51" s="4" t="s">
        <v>35</v>
      </c>
      <c r="C51" s="8">
        <f>Resultados_Simulacion!C51</f>
        <v>1.3867119999999999</v>
      </c>
      <c r="D51" s="10">
        <f>(C51-Resultados_Simulacion!C40)/Resultados_Simulacion!C40</f>
        <v>0</v>
      </c>
      <c r="E51" s="8">
        <f>Resultados_Simulacion!E51</f>
        <v>3.8846499999999999E-2</v>
      </c>
      <c r="F51" s="10">
        <f>(E51-Resultados_Simulacion!E40)/Resultados_Simulacion!E40</f>
        <v>0</v>
      </c>
      <c r="G51" s="8">
        <f>Resultados_Simulacion!F51</f>
        <v>48.330414254147819</v>
      </c>
      <c r="H51" s="10">
        <f>(G51-Resultados_Simulacion!F40)/Resultados_Simulacion!F40</f>
        <v>5.2636096871558319E-2</v>
      </c>
      <c r="I51" s="8">
        <f>Resultados_Simulacion!H51</f>
        <v>2.0645779999999999E-2</v>
      </c>
      <c r="J51" s="10">
        <f>(I51-Resultados_Simulacion!H40)/Resultados_Simulacion!H40</f>
        <v>-0.18340061931848076</v>
      </c>
      <c r="K51" s="8">
        <f>Resultados_Simulacion!I51</f>
        <v>1.598936962779186E-2</v>
      </c>
      <c r="L51" s="10">
        <f>(K51-Resultados_Simulacion!I40)/Resultados_Simulacion!I40</f>
        <v>-0.3153271075499533</v>
      </c>
    </row>
    <row r="52" spans="1:12" x14ac:dyDescent="0.3">
      <c r="A52" s="4">
        <v>79000</v>
      </c>
      <c r="B52" s="4" t="s">
        <v>37</v>
      </c>
      <c r="C52" s="8">
        <f>Resultados_Simulacion!C52</f>
        <v>1.3867119999999999</v>
      </c>
      <c r="D52" s="10">
        <f>(C52-Resultados_Simulacion!C40)/Resultados_Simulacion!C40</f>
        <v>0</v>
      </c>
      <c r="E52" s="8">
        <f>Resultados_Simulacion!E52</f>
        <v>3.8846499999999999E-2</v>
      </c>
      <c r="F52" s="10">
        <f>(E52-Resultados_Simulacion!E40)/Resultados_Simulacion!E40</f>
        <v>0</v>
      </c>
      <c r="G52" s="8">
        <f>Resultados_Simulacion!F52</f>
        <v>48.062464598551252</v>
      </c>
      <c r="H52" s="10">
        <f>(G52-Resultados_Simulacion!F40)/Resultados_Simulacion!F40</f>
        <v>4.6800155177740908E-2</v>
      </c>
      <c r="I52" s="8">
        <f>Resultados_Simulacion!H52</f>
        <v>2.0373459999999999E-2</v>
      </c>
      <c r="J52" s="10">
        <f>(I52-Resultados_Simulacion!H40)/Resultados_Simulacion!H40</f>
        <v>-0.19417165065501496</v>
      </c>
      <c r="K52" s="8">
        <f>Resultados_Simulacion!I52</f>
        <v>1.5848926819567611E-2</v>
      </c>
      <c r="L52" s="10">
        <f>(K52-Resultados_Simulacion!I40)/Resultados_Simulacion!I40</f>
        <v>-0.32134093961269877</v>
      </c>
    </row>
    <row r="53" spans="1:12" x14ac:dyDescent="0.3">
      <c r="A53" s="4">
        <v>79000</v>
      </c>
      <c r="B53" s="4" t="s">
        <v>39</v>
      </c>
      <c r="C53" s="8">
        <f>Resultados_Simulacion!C53</f>
        <v>1.3867119999999999</v>
      </c>
      <c r="D53" s="10">
        <f>(C53-Resultados_Simulacion!C40)/Resultados_Simulacion!C40</f>
        <v>0</v>
      </c>
      <c r="E53" s="8">
        <f>Resultados_Simulacion!E53</f>
        <v>3.8846499999999999E-2</v>
      </c>
      <c r="F53" s="10">
        <f>(E53-Resultados_Simulacion!E40)/Resultados_Simulacion!E40</f>
        <v>0</v>
      </c>
      <c r="G53" s="8">
        <f>Resultados_Simulacion!F53</f>
        <v>47.071878225535947</v>
      </c>
      <c r="H53" s="10">
        <f>(G53-Resultados_Simulacion!F40)/Resultados_Simulacion!F40</f>
        <v>2.5225190646674542E-2</v>
      </c>
      <c r="I53" s="8">
        <f>Resultados_Simulacion!H53</f>
        <v>1.928943E-2</v>
      </c>
      <c r="J53" s="10">
        <f>(I53-Resultados_Simulacion!H40)/Resultados_Simulacion!H40</f>
        <v>-0.23704812355360183</v>
      </c>
      <c r="K53" s="8">
        <f>Resultados_Simulacion!I53</f>
        <v>1.5623215646917051E-2</v>
      </c>
      <c r="L53" s="10">
        <f>(K53-Resultados_Simulacion!I40)/Resultados_Simulacion!I40</f>
        <v>-0.33100600615593145</v>
      </c>
    </row>
    <row r="54" spans="1:12" x14ac:dyDescent="0.3">
      <c r="A54" s="4">
        <v>79000</v>
      </c>
      <c r="B54" s="4" t="s">
        <v>41</v>
      </c>
      <c r="C54" s="8">
        <f>Resultados_Simulacion!C54</f>
        <v>1.3867119999999999</v>
      </c>
      <c r="D54" s="10">
        <f>(C54-Resultados_Simulacion!C40)/Resultados_Simulacion!C40</f>
        <v>0</v>
      </c>
      <c r="E54" s="8">
        <f>Resultados_Simulacion!E54</f>
        <v>3.8846499999999999E-2</v>
      </c>
      <c r="F54" s="10">
        <f>(E54-Resultados_Simulacion!E40)/Resultados_Simulacion!E40</f>
        <v>0</v>
      </c>
      <c r="G54" s="8">
        <f>Resultados_Simulacion!F54</f>
        <v>46.148790504240857</v>
      </c>
      <c r="H54" s="10">
        <f>(G54-Resultados_Simulacion!F40)/Resultados_Simulacion!F40</f>
        <v>5.120346295361471E-3</v>
      </c>
      <c r="I54" s="8">
        <f>Resultados_Simulacion!H54</f>
        <v>1.9200149999999999E-2</v>
      </c>
      <c r="J54" s="10">
        <f>(I54-Resultados_Simulacion!H40)/Resultados_Simulacion!H40</f>
        <v>-0.24057940174736572</v>
      </c>
      <c r="K54" s="8">
        <f>Resultados_Simulacion!I54</f>
        <v>1.5546640682406739E-2</v>
      </c>
      <c r="L54" s="10">
        <f>(K54-Resultados_Simulacion!I40)/Resultados_Simulacion!I40</f>
        <v>-0.33428498485621777</v>
      </c>
    </row>
    <row r="55" spans="1:12" x14ac:dyDescent="0.3">
      <c r="A55" s="4">
        <v>79000</v>
      </c>
      <c r="B55" s="4" t="s">
        <v>43</v>
      </c>
      <c r="C55" s="8">
        <f>Resultados_Simulacion!C55</f>
        <v>1.3867119999999999</v>
      </c>
      <c r="D55" s="10">
        <f>(C55-Resultados_Simulacion!C40)/Resultados_Simulacion!C40</f>
        <v>0</v>
      </c>
      <c r="E55" s="8">
        <f>Resultados_Simulacion!E55</f>
        <v>3.8846499999999999E-2</v>
      </c>
      <c r="F55" s="10">
        <f>(E55-Resultados_Simulacion!E40)/Resultados_Simulacion!E40</f>
        <v>0</v>
      </c>
      <c r="G55" s="8">
        <f>Resultados_Simulacion!F55</f>
        <v>45.913696478570458</v>
      </c>
      <c r="H55" s="10">
        <f>(G55-Resultados_Simulacion!F40)/Resultados_Simulacion!F40</f>
        <v>0</v>
      </c>
      <c r="I55" s="8">
        <f>Resultados_Simulacion!H55</f>
        <v>2.528263E-2</v>
      </c>
      <c r="J55" s="10">
        <f>(I55-Resultados_Simulacion!H40)/Resultados_Simulacion!H40</f>
        <v>0</v>
      </c>
      <c r="K55" s="8">
        <f>Resultados_Simulacion!I55</f>
        <v>1.5499804571799799E-2</v>
      </c>
      <c r="L55" s="10">
        <f>(K55-Resultados_Simulacion!I40)/Resultados_Simulacion!I40</f>
        <v>-0.33629053079497861</v>
      </c>
    </row>
    <row r="56" spans="1:12" x14ac:dyDescent="0.3">
      <c r="A56" s="4">
        <v>79000</v>
      </c>
      <c r="B56" s="4" t="s">
        <v>45</v>
      </c>
      <c r="C56" s="8">
        <f>Resultados_Simulacion!C56</f>
        <v>1.3867119999999999</v>
      </c>
      <c r="D56" s="10">
        <f>(C56-Resultados_Simulacion!C40)/Resultados_Simulacion!C40</f>
        <v>0</v>
      </c>
      <c r="E56" s="8">
        <f>Resultados_Simulacion!E56</f>
        <v>3.8846499999999999E-2</v>
      </c>
      <c r="F56" s="10">
        <f>(E56-Resultados_Simulacion!E40)/Resultados_Simulacion!E40</f>
        <v>0</v>
      </c>
      <c r="G56" s="8">
        <f>Resultados_Simulacion!F56</f>
        <v>45.913696478570458</v>
      </c>
      <c r="H56" s="10">
        <f>(G56-Resultados_Simulacion!F40)/Resultados_Simulacion!F40</f>
        <v>0</v>
      </c>
      <c r="I56" s="8">
        <f>Resultados_Simulacion!H56</f>
        <v>2.528263E-2</v>
      </c>
      <c r="J56" s="10">
        <f>(I56-Resultados_Simulacion!H40)/Resultados_Simulacion!H40</f>
        <v>0</v>
      </c>
      <c r="K56" s="8">
        <f>Resultados_Simulacion!I56</f>
        <v>1.5510158571939469E-2</v>
      </c>
      <c r="L56" s="10">
        <f>(K56-Resultados_Simulacion!I40)/Resultados_Simulacion!I40</f>
        <v>-0.33584716727352154</v>
      </c>
    </row>
    <row r="57" spans="1:12" x14ac:dyDescent="0.3">
      <c r="A57" s="4">
        <v>79000</v>
      </c>
      <c r="B57" s="4" t="s">
        <v>47</v>
      </c>
      <c r="C57" s="8">
        <f>Resultados_Simulacion!C57</f>
        <v>1.3867119999999999</v>
      </c>
      <c r="D57" s="10">
        <f>(C57-Resultados_Simulacion!C40)/Resultados_Simulacion!C40</f>
        <v>0</v>
      </c>
      <c r="E57" s="8">
        <f>Resultados_Simulacion!E57</f>
        <v>3.8846499999999999E-2</v>
      </c>
      <c r="F57" s="10">
        <f>(E57-Resultados_Simulacion!E40)/Resultados_Simulacion!E40</f>
        <v>0</v>
      </c>
      <c r="G57" s="8">
        <f>Resultados_Simulacion!F57</f>
        <v>45.913696478570458</v>
      </c>
      <c r="H57" s="10">
        <f>(G57-Resultados_Simulacion!F40)/Resultados_Simulacion!F40</f>
        <v>0</v>
      </c>
      <c r="I57" s="8">
        <f>Resultados_Simulacion!H57</f>
        <v>2.528263E-2</v>
      </c>
      <c r="J57" s="10">
        <f>(I57-Resultados_Simulacion!H40)/Resultados_Simulacion!H40</f>
        <v>0</v>
      </c>
      <c r="K57" s="8">
        <f>Resultados_Simulacion!I57</f>
        <v>1.5581178812367589E-2</v>
      </c>
      <c r="L57" s="10">
        <f>(K57-Resultados_Simulacion!I40)/Resultados_Simulacion!I40</f>
        <v>-0.33280604466716812</v>
      </c>
    </row>
    <row r="58" spans="1:12" x14ac:dyDescent="0.3">
      <c r="A58" s="4">
        <v>79000</v>
      </c>
      <c r="B58" s="4" t="s">
        <v>49</v>
      </c>
      <c r="C58" s="8">
        <f>Resultados_Simulacion!C58</f>
        <v>1.3867119999999999</v>
      </c>
      <c r="D58" s="10">
        <f>(C58-Resultados_Simulacion!C40)/Resultados_Simulacion!C40</f>
        <v>0</v>
      </c>
      <c r="E58" s="8">
        <f>Resultados_Simulacion!E58</f>
        <v>3.8846499999999999E-2</v>
      </c>
      <c r="F58" s="10">
        <f>(E58-Resultados_Simulacion!E40)/Resultados_Simulacion!E40</f>
        <v>0</v>
      </c>
      <c r="G58" s="8">
        <f>Resultados_Simulacion!F58</f>
        <v>45.913696478570458</v>
      </c>
      <c r="H58" s="10">
        <f>(G58-Resultados_Simulacion!F40)/Resultados_Simulacion!F40</f>
        <v>0</v>
      </c>
      <c r="I58" s="8">
        <f>Resultados_Simulacion!H58</f>
        <v>2.528263E-2</v>
      </c>
      <c r="J58" s="10">
        <f>(I58-Resultados_Simulacion!H40)/Resultados_Simulacion!H40</f>
        <v>0</v>
      </c>
      <c r="K58" s="8">
        <f>Resultados_Simulacion!I58</f>
        <v>1.5736924943427561E-2</v>
      </c>
      <c r="L58" s="10">
        <f>(K58-Resultados_Simulacion!I40)/Resultados_Simulacion!I40</f>
        <v>-0.32613691658250699</v>
      </c>
    </row>
    <row r="59" spans="1:12" x14ac:dyDescent="0.3">
      <c r="A59" s="12">
        <v>92000</v>
      </c>
      <c r="B59" s="12" t="s">
        <v>13</v>
      </c>
      <c r="C59" s="13">
        <f>Resultados_Simulacion!C59</f>
        <v>1.3728199999999999</v>
      </c>
      <c r="D59" s="14">
        <f>(C59-Resultados_Simulacion!C59)/Resultados_Simulacion!C59</f>
        <v>0</v>
      </c>
      <c r="E59" s="13">
        <f>Resultados_Simulacion!E59</f>
        <v>3.8056369999999999E-2</v>
      </c>
      <c r="F59" s="14">
        <f>(E59-Resultados_Simulacion!E59)/Resultados_Simulacion!E59</f>
        <v>0</v>
      </c>
      <c r="G59" s="13">
        <f>Resultados_Simulacion!F59</f>
        <v>50.753521110791119</v>
      </c>
      <c r="H59" s="14">
        <f>(G59-Resultados_Simulacion!F59)/Resultados_Simulacion!F59</f>
        <v>0</v>
      </c>
      <c r="I59" s="13">
        <f>Resultados_Simulacion!H59</f>
        <v>2.204915E-2</v>
      </c>
      <c r="J59" s="14">
        <f>(I59-Resultados_Simulacion!H59)/Resultados_Simulacion!H59</f>
        <v>0</v>
      </c>
      <c r="K59" s="13">
        <f>Resultados_Simulacion!I59</f>
        <v>1.9868171426080321E-2</v>
      </c>
      <c r="L59" s="14">
        <f>(K59-Resultados_Simulacion!I59)/Resultados_Simulacion!I59</f>
        <v>0</v>
      </c>
    </row>
    <row r="60" spans="1:12" x14ac:dyDescent="0.3">
      <c r="A60" s="4">
        <v>92000</v>
      </c>
      <c r="B60" s="4" t="s">
        <v>15</v>
      </c>
      <c r="C60" s="8">
        <f>Resultados_Simulacion!C60</f>
        <v>1.303261</v>
      </c>
      <c r="D60" s="10">
        <f>(C60-Resultados_Simulacion!C59)/Resultados_Simulacion!C59</f>
        <v>-5.0668696551623614E-2</v>
      </c>
      <c r="E60" s="8">
        <f>Resultados_Simulacion!E60</f>
        <v>8.6983210000000005E-2</v>
      </c>
      <c r="F60" s="10">
        <f>(E60-Resultados_Simulacion!E59)/Resultados_Simulacion!E59</f>
        <v>1.2856412737210619</v>
      </c>
      <c r="G60" s="8">
        <f>Resultados_Simulacion!F60</f>
        <v>39.670317554376638</v>
      </c>
      <c r="H60" s="10">
        <f>(G60-Resultados_Simulacion!F59)/Resultados_Simulacion!F59</f>
        <v>-0.2183730963654853</v>
      </c>
      <c r="I60" s="8">
        <f>Resultados_Simulacion!H60</f>
        <v>2.566773E-2</v>
      </c>
      <c r="J60" s="10">
        <f>(I60-Resultados_Simulacion!H59)/Resultados_Simulacion!H59</f>
        <v>0.16411426290809394</v>
      </c>
      <c r="K60" s="8">
        <f>Resultados_Simulacion!I60</f>
        <v>1.8369514408473991E-2</v>
      </c>
      <c r="L60" s="10">
        <f>(K60-Resultados_Simulacion!I59)/Resultados_Simulacion!I59</f>
        <v>-7.5430042627832899E-2</v>
      </c>
    </row>
    <row r="61" spans="1:12" x14ac:dyDescent="0.3">
      <c r="A61" s="4">
        <v>92000</v>
      </c>
      <c r="B61" s="4" t="s">
        <v>17</v>
      </c>
      <c r="C61" s="8">
        <f>Resultados_Simulacion!C61</f>
        <v>1.3368089999999999</v>
      </c>
      <c r="D61" s="10">
        <f>(C61-Resultados_Simulacion!C59)/Resultados_Simulacion!C59</f>
        <v>-2.6231406885097841E-2</v>
      </c>
      <c r="E61" s="8">
        <f>Resultados_Simulacion!E61</f>
        <v>5.2953849999999997E-2</v>
      </c>
      <c r="F61" s="10">
        <f>(E61-Resultados_Simulacion!E59)/Resultados_Simulacion!E59</f>
        <v>0.3914582499592052</v>
      </c>
      <c r="G61" s="8">
        <f>Resultados_Simulacion!F61</f>
        <v>41.95118698319552</v>
      </c>
      <c r="H61" s="10">
        <f>(G61-Resultados_Simulacion!F59)/Resultados_Simulacion!F59</f>
        <v>-0.17343297440153496</v>
      </c>
      <c r="I61" s="8">
        <f>Resultados_Simulacion!H61</f>
        <v>2.5043320000000001E-2</v>
      </c>
      <c r="J61" s="10">
        <f>(I61-Resultados_Simulacion!H59)/Resultados_Simulacion!H59</f>
        <v>0.13579525741355114</v>
      </c>
      <c r="K61" s="8">
        <f>Resultados_Simulacion!I61</f>
        <v>1.7997244224089499E-2</v>
      </c>
      <c r="L61" s="10">
        <f>(K61-Resultados_Simulacion!I59)/Resultados_Simulacion!I59</f>
        <v>-9.4167055531588287E-2</v>
      </c>
    </row>
    <row r="62" spans="1:12" x14ac:dyDescent="0.3">
      <c r="A62" s="4">
        <v>92000</v>
      </c>
      <c r="B62" s="4" t="s">
        <v>19</v>
      </c>
      <c r="C62" s="8">
        <f>Resultados_Simulacion!C62</f>
        <v>1.371907</v>
      </c>
      <c r="D62" s="10">
        <f>(C62-Resultados_Simulacion!C59)/Resultados_Simulacion!C59</f>
        <v>-6.6505441354288374E-4</v>
      </c>
      <c r="E62" s="8">
        <f>Resultados_Simulacion!E62</f>
        <v>4.1563530000000001E-2</v>
      </c>
      <c r="F62" s="10">
        <f>(E62-Resultados_Simulacion!E59)/Resultados_Simulacion!E59</f>
        <v>9.2156976611274338E-2</v>
      </c>
      <c r="G62" s="8">
        <f>Resultados_Simulacion!F62</f>
        <v>44.37454658722104</v>
      </c>
      <c r="H62" s="10">
        <f>(G62-Resultados_Simulacion!F59)/Resultados_Simulacion!F59</f>
        <v>-0.1256853590442574</v>
      </c>
      <c r="I62" s="8">
        <f>Resultados_Simulacion!H62</f>
        <v>2.488075E-2</v>
      </c>
      <c r="J62" s="10">
        <f>(I62-Resultados_Simulacion!H59)/Resultados_Simulacion!H59</f>
        <v>0.12842218407512307</v>
      </c>
      <c r="K62" s="8">
        <f>Resultados_Simulacion!I62</f>
        <v>1.7576379422730229E-2</v>
      </c>
      <c r="L62" s="10">
        <f>(K62-Resultados_Simulacion!I59)/Resultados_Simulacion!I59</f>
        <v>-0.11534992094651091</v>
      </c>
    </row>
    <row r="63" spans="1:12" x14ac:dyDescent="0.3">
      <c r="A63" s="4">
        <v>92000</v>
      </c>
      <c r="B63" s="4" t="s">
        <v>21</v>
      </c>
      <c r="C63" s="8">
        <f>Resultados_Simulacion!C63</f>
        <v>1.3728199999999999</v>
      </c>
      <c r="D63" s="10">
        <f>(C63-Resultados_Simulacion!C59)/Resultados_Simulacion!C59</f>
        <v>0</v>
      </c>
      <c r="E63" s="8">
        <f>Resultados_Simulacion!E63</f>
        <v>3.8056369999999999E-2</v>
      </c>
      <c r="F63" s="10">
        <f>(E63-Resultados_Simulacion!E59)/Resultados_Simulacion!E59</f>
        <v>0</v>
      </c>
      <c r="G63" s="8">
        <f>Resultados_Simulacion!F63</f>
        <v>46.503727331256961</v>
      </c>
      <c r="H63" s="10">
        <f>(G63-Resultados_Simulacion!F59)/Resultados_Simulacion!F59</f>
        <v>-8.3733969319235574E-2</v>
      </c>
      <c r="I63" s="8">
        <f>Resultados_Simulacion!H63</f>
        <v>2.4478639999999999E-2</v>
      </c>
      <c r="J63" s="10">
        <f>(I63-Resultados_Simulacion!H59)/Resultados_Simulacion!H59</f>
        <v>0.11018519988298867</v>
      </c>
      <c r="K63" s="8">
        <f>Resultados_Simulacion!I63</f>
        <v>1.7152800317187619E-2</v>
      </c>
      <c r="L63" s="10">
        <f>(K63-Resultados_Simulacion!I59)/Resultados_Simulacion!I59</f>
        <v>-0.13666940206325781</v>
      </c>
    </row>
    <row r="64" spans="1:12" x14ac:dyDescent="0.3">
      <c r="A64" s="4">
        <v>92000</v>
      </c>
      <c r="B64" s="4" t="s">
        <v>23</v>
      </c>
      <c r="C64" s="8">
        <f>Resultados_Simulacion!C64</f>
        <v>1.3728199999999999</v>
      </c>
      <c r="D64" s="10">
        <f>(C64-Resultados_Simulacion!C59)/Resultados_Simulacion!C59</f>
        <v>0</v>
      </c>
      <c r="E64" s="8">
        <f>Resultados_Simulacion!E64</f>
        <v>3.8056369999999999E-2</v>
      </c>
      <c r="F64" s="10">
        <f>(E64-Resultados_Simulacion!E59)/Resultados_Simulacion!E59</f>
        <v>0</v>
      </c>
      <c r="G64" s="8">
        <f>Resultados_Simulacion!F64</f>
        <v>48.005812408398867</v>
      </c>
      <c r="H64" s="10">
        <f>(G64-Resultados_Simulacion!F59)/Resultados_Simulacion!F59</f>
        <v>-5.4138287201674358E-2</v>
      </c>
      <c r="I64" s="8">
        <f>Resultados_Simulacion!H64</f>
        <v>2.396941E-2</v>
      </c>
      <c r="J64" s="10">
        <f>(I64-Resultados_Simulacion!H59)/Resultados_Simulacion!H59</f>
        <v>8.7089978525249273E-2</v>
      </c>
      <c r="K64" s="8">
        <f>Resultados_Simulacion!I64</f>
        <v>1.677334632002098E-2</v>
      </c>
      <c r="L64" s="10">
        <f>(K64-Resultados_Simulacion!I59)/Resultados_Simulacion!I59</f>
        <v>-0.1557679888948845</v>
      </c>
    </row>
    <row r="65" spans="1:12" x14ac:dyDescent="0.3">
      <c r="A65" s="4">
        <v>92000</v>
      </c>
      <c r="B65" s="4" t="s">
        <v>25</v>
      </c>
      <c r="C65" s="8">
        <f>Resultados_Simulacion!C65</f>
        <v>1.3728199999999999</v>
      </c>
      <c r="D65" s="10">
        <f>(C65-Resultados_Simulacion!C59)/Resultados_Simulacion!C59</f>
        <v>0</v>
      </c>
      <c r="E65" s="8">
        <f>Resultados_Simulacion!E65</f>
        <v>3.8056369999999999E-2</v>
      </c>
      <c r="F65" s="10">
        <f>(E65-Resultados_Simulacion!E59)/Resultados_Simulacion!E59</f>
        <v>0</v>
      </c>
      <c r="G65" s="8">
        <f>Resultados_Simulacion!F65</f>
        <v>49.573449797051317</v>
      </c>
      <c r="H65" s="10">
        <f>(G65-Resultados_Simulacion!F59)/Resultados_Simulacion!F59</f>
        <v>-2.3251023533200684E-2</v>
      </c>
      <c r="I65" s="8">
        <f>Resultados_Simulacion!H65</f>
        <v>2.3604489999999999E-2</v>
      </c>
      <c r="J65" s="10">
        <f>(I65-Resultados_Simulacion!H59)/Resultados_Simulacion!H59</f>
        <v>7.0539680667962207E-2</v>
      </c>
      <c r="K65" s="8">
        <f>Resultados_Simulacion!I65</f>
        <v>1.6332567923797271E-2</v>
      </c>
      <c r="L65" s="10">
        <f>(K65-Resultados_Simulacion!I59)/Resultados_Simulacion!I59</f>
        <v>-0.17795314055132297</v>
      </c>
    </row>
    <row r="66" spans="1:12" x14ac:dyDescent="0.3">
      <c r="A66" s="4">
        <v>92000</v>
      </c>
      <c r="B66" s="4" t="s">
        <v>27</v>
      </c>
      <c r="C66" s="8">
        <f>Resultados_Simulacion!C66</f>
        <v>1.3728199999999999</v>
      </c>
      <c r="D66" s="10">
        <f>(C66-Resultados_Simulacion!C59)/Resultados_Simulacion!C59</f>
        <v>0</v>
      </c>
      <c r="E66" s="8">
        <f>Resultados_Simulacion!E66</f>
        <v>3.8056369999999999E-2</v>
      </c>
      <c r="F66" s="10">
        <f>(E66-Resultados_Simulacion!E59)/Resultados_Simulacion!E59</f>
        <v>0</v>
      </c>
      <c r="G66" s="8">
        <f>Resultados_Simulacion!F66</f>
        <v>51.166062786203469</v>
      </c>
      <c r="H66" s="10">
        <f>(G66-Resultados_Simulacion!F59)/Resultados_Simulacion!F59</f>
        <v>8.1283360520307893E-3</v>
      </c>
      <c r="I66" s="8">
        <f>Resultados_Simulacion!H66</f>
        <v>2.1883469999999999E-2</v>
      </c>
      <c r="J66" s="10">
        <f>(I66-Resultados_Simulacion!H59)/Resultados_Simulacion!H59</f>
        <v>-7.5141218595728811E-3</v>
      </c>
      <c r="K66" s="8">
        <f>Resultados_Simulacion!I66</f>
        <v>1.5809699418524451E-2</v>
      </c>
      <c r="L66" s="10">
        <f>(K66-Resultados_Simulacion!I59)/Resultados_Simulacion!I59</f>
        <v>-0.20427003172664604</v>
      </c>
    </row>
    <row r="67" spans="1:12" x14ac:dyDescent="0.3">
      <c r="A67" s="4">
        <v>92000</v>
      </c>
      <c r="B67" s="4" t="s">
        <v>29</v>
      </c>
      <c r="C67" s="8">
        <f>Resultados_Simulacion!C67</f>
        <v>1.3728199999999999</v>
      </c>
      <c r="D67" s="10">
        <f>(C67-Resultados_Simulacion!C59)/Resultados_Simulacion!C59</f>
        <v>0</v>
      </c>
      <c r="E67" s="8">
        <f>Resultados_Simulacion!E67</f>
        <v>3.8056369999999999E-2</v>
      </c>
      <c r="F67" s="10">
        <f>(E67-Resultados_Simulacion!E59)/Resultados_Simulacion!E59</f>
        <v>0</v>
      </c>
      <c r="G67" s="8">
        <f>Resultados_Simulacion!F67</f>
        <v>51.757257310453546</v>
      </c>
      <c r="H67" s="10">
        <f>(G67-Resultados_Simulacion!F59)/Resultados_Simulacion!F59</f>
        <v>1.9776681059651927E-2</v>
      </c>
      <c r="I67" s="8">
        <f>Resultados_Simulacion!H67</f>
        <v>2.135743E-2</v>
      </c>
      <c r="J67" s="10">
        <f>(I67-Resultados_Simulacion!H59)/Resultados_Simulacion!H59</f>
        <v>-3.1371730883049904E-2</v>
      </c>
      <c r="K67" s="8">
        <f>Resultados_Simulacion!I67</f>
        <v>1.556657030710311E-2</v>
      </c>
      <c r="L67" s="10">
        <f>(K67-Resultados_Simulacion!I59)/Resultados_Simulacion!I59</f>
        <v>-0.21650714737294013</v>
      </c>
    </row>
    <row r="68" spans="1:12" x14ac:dyDescent="0.3">
      <c r="A68" s="4">
        <v>92000</v>
      </c>
      <c r="B68" s="4" t="s">
        <v>31</v>
      </c>
      <c r="C68" s="8">
        <f>Resultados_Simulacion!C68</f>
        <v>1.3728199999999999</v>
      </c>
      <c r="D68" s="10">
        <f>(C68-Resultados_Simulacion!C59)/Resultados_Simulacion!C59</f>
        <v>0</v>
      </c>
      <c r="E68" s="8">
        <f>Resultados_Simulacion!E68</f>
        <v>3.8056369999999999E-2</v>
      </c>
      <c r="F68" s="10">
        <f>(E68-Resultados_Simulacion!E59)/Resultados_Simulacion!E59</f>
        <v>0</v>
      </c>
      <c r="G68" s="8">
        <f>Resultados_Simulacion!F68</f>
        <v>52.142992445619157</v>
      </c>
      <c r="H68" s="10">
        <f>(G68-Resultados_Simulacion!F59)/Resultados_Simulacion!F59</f>
        <v>2.7376846067387644E-2</v>
      </c>
      <c r="I68" s="8">
        <f>Resultados_Simulacion!H68</f>
        <v>2.0377579999999999E-2</v>
      </c>
      <c r="J68" s="10">
        <f>(I68-Resultados_Simulacion!H59)/Resultados_Simulacion!H59</f>
        <v>-7.5811085688110458E-2</v>
      </c>
      <c r="K68" s="8">
        <f>Resultados_Simulacion!I68</f>
        <v>1.5348573531360959E-2</v>
      </c>
      <c r="L68" s="10">
        <f>(K68-Resultados_Simulacion!I59)/Resultados_Simulacion!I59</f>
        <v>-0.22747930837694647</v>
      </c>
    </row>
    <row r="69" spans="1:12" x14ac:dyDescent="0.3">
      <c r="A69" s="4">
        <v>92000</v>
      </c>
      <c r="B69" s="4" t="s">
        <v>33</v>
      </c>
      <c r="C69" s="8">
        <f>Resultados_Simulacion!C69</f>
        <v>1.3728199999999999</v>
      </c>
      <c r="D69" s="10">
        <f>(C69-Resultados_Simulacion!C59)/Resultados_Simulacion!C59</f>
        <v>0</v>
      </c>
      <c r="E69" s="8">
        <f>Resultados_Simulacion!E69</f>
        <v>3.8056369999999999E-2</v>
      </c>
      <c r="F69" s="10">
        <f>(E69-Resultados_Simulacion!E59)/Resultados_Simulacion!E59</f>
        <v>0</v>
      </c>
      <c r="G69" s="8">
        <f>Resultados_Simulacion!F69</f>
        <v>52.405814618893999</v>
      </c>
      <c r="H69" s="10">
        <f>(G69-Resultados_Simulacion!F59)/Resultados_Simulacion!F59</f>
        <v>3.2555248817043581E-2</v>
      </c>
      <c r="I69" s="8">
        <f>Resultados_Simulacion!H69</f>
        <v>1.9624329999999999E-2</v>
      </c>
      <c r="J69" s="10">
        <f>(I69-Resultados_Simulacion!H59)/Resultados_Simulacion!H59</f>
        <v>-0.10997340033516037</v>
      </c>
      <c r="K69" s="8">
        <f>Resultados_Simulacion!I69</f>
        <v>1.498574918786361E-2</v>
      </c>
      <c r="L69" s="10">
        <f>(K69-Resultados_Simulacion!I59)/Resultados_Simulacion!I59</f>
        <v>-0.24574089550121908</v>
      </c>
    </row>
    <row r="70" spans="1:12" x14ac:dyDescent="0.3">
      <c r="A70" s="4">
        <v>92000</v>
      </c>
      <c r="B70" s="4" t="s">
        <v>35</v>
      </c>
      <c r="C70" s="8">
        <f>Resultados_Simulacion!C70</f>
        <v>1.3728199999999999</v>
      </c>
      <c r="D70" s="10">
        <f>(C70-Resultados_Simulacion!C59)/Resultados_Simulacion!C59</f>
        <v>0</v>
      </c>
      <c r="E70" s="8">
        <f>Resultados_Simulacion!E70</f>
        <v>3.8056369999999999E-2</v>
      </c>
      <c r="F70" s="10">
        <f>(E70-Resultados_Simulacion!E59)/Resultados_Simulacion!E59</f>
        <v>0</v>
      </c>
      <c r="G70" s="8">
        <f>Resultados_Simulacion!F70</f>
        <v>52.349111462783917</v>
      </c>
      <c r="H70" s="10">
        <f>(G70-Resultados_Simulacion!F59)/Resultados_Simulacion!F59</f>
        <v>3.1438022763184123E-2</v>
      </c>
      <c r="I70" s="8">
        <f>Resultados_Simulacion!H70</f>
        <v>1.8735849999999998E-2</v>
      </c>
      <c r="J70" s="10">
        <f>(I70-Resultados_Simulacion!H59)/Resultados_Simulacion!H59</f>
        <v>-0.15026883122478651</v>
      </c>
      <c r="K70" s="8">
        <f>Resultados_Simulacion!I70</f>
        <v>1.4827679891756569E-2</v>
      </c>
      <c r="L70" s="10">
        <f>(K70-Resultados_Simulacion!I59)/Resultados_Simulacion!I59</f>
        <v>-0.25369680109097797</v>
      </c>
    </row>
    <row r="71" spans="1:12" x14ac:dyDescent="0.3">
      <c r="A71" s="4">
        <v>92000</v>
      </c>
      <c r="B71" s="4" t="s">
        <v>37</v>
      </c>
      <c r="C71" s="8">
        <f>Resultados_Simulacion!C71</f>
        <v>1.3728199999999999</v>
      </c>
      <c r="D71" s="10">
        <f>(C71-Resultados_Simulacion!C59)/Resultados_Simulacion!C59</f>
        <v>0</v>
      </c>
      <c r="E71" s="8">
        <f>Resultados_Simulacion!E71</f>
        <v>3.8056369999999999E-2</v>
      </c>
      <c r="F71" s="10">
        <f>(E71-Resultados_Simulacion!E59)/Resultados_Simulacion!E59</f>
        <v>0</v>
      </c>
      <c r="G71" s="8">
        <f>Resultados_Simulacion!F71</f>
        <v>52.154386437014473</v>
      </c>
      <c r="H71" s="10">
        <f>(G71-Resultados_Simulacion!F59)/Resultados_Simulacion!F59</f>
        <v>2.7601342637200876E-2</v>
      </c>
      <c r="I71" s="8">
        <f>Resultados_Simulacion!H71</f>
        <v>1.8431929999999999E-2</v>
      </c>
      <c r="J71" s="10">
        <f>(I71-Resultados_Simulacion!H59)/Resultados_Simulacion!H59</f>
        <v>-0.16405258252585705</v>
      </c>
      <c r="K71" s="8">
        <f>Resultados_Simulacion!I71</f>
        <v>1.468221881776347E-2</v>
      </c>
      <c r="L71" s="10">
        <f>(K71-Resultados_Simulacion!I59)/Resultados_Simulacion!I59</f>
        <v>-0.26101811269402553</v>
      </c>
    </row>
    <row r="72" spans="1:12" x14ac:dyDescent="0.3">
      <c r="A72" s="4">
        <v>92000</v>
      </c>
      <c r="B72" s="4" t="s">
        <v>39</v>
      </c>
      <c r="C72" s="8">
        <f>Resultados_Simulacion!C72</f>
        <v>1.3728199999999999</v>
      </c>
      <c r="D72" s="10">
        <f>(C72-Resultados_Simulacion!C59)/Resultados_Simulacion!C59</f>
        <v>0</v>
      </c>
      <c r="E72" s="8">
        <f>Resultados_Simulacion!E72</f>
        <v>3.8056369999999999E-2</v>
      </c>
      <c r="F72" s="10">
        <f>(E72-Resultados_Simulacion!E59)/Resultados_Simulacion!E59</f>
        <v>0</v>
      </c>
      <c r="G72" s="8">
        <f>Resultados_Simulacion!F72</f>
        <v>51.192106771108612</v>
      </c>
      <c r="H72" s="10">
        <f>(G72-Resultados_Simulacion!F59)/Resultados_Simulacion!F59</f>
        <v>8.6414824177438523E-3</v>
      </c>
      <c r="I72" s="8">
        <f>Resultados_Simulacion!H72</f>
        <v>1.7974899999999999E-2</v>
      </c>
      <c r="J72" s="10">
        <f>(I72-Resultados_Simulacion!H59)/Resultados_Simulacion!H59</f>
        <v>-0.18478036568303094</v>
      </c>
      <c r="K72" s="8">
        <f>Resultados_Simulacion!I72</f>
        <v>1.443607174273369E-2</v>
      </c>
      <c r="L72" s="10">
        <f>(K72-Resultados_Simulacion!I59)/Resultados_Simulacion!I59</f>
        <v>-0.27340712775490172</v>
      </c>
    </row>
    <row r="73" spans="1:12" x14ac:dyDescent="0.3">
      <c r="A73" s="4">
        <v>92000</v>
      </c>
      <c r="B73" s="4" t="s">
        <v>41</v>
      </c>
      <c r="C73" s="8">
        <f>Resultados_Simulacion!C73</f>
        <v>1.3728199999999999</v>
      </c>
      <c r="D73" s="10">
        <f>(C73-Resultados_Simulacion!C59)/Resultados_Simulacion!C59</f>
        <v>0</v>
      </c>
      <c r="E73" s="8">
        <f>Resultados_Simulacion!E73</f>
        <v>3.8056369999999999E-2</v>
      </c>
      <c r="F73" s="10">
        <f>(E73-Resultados_Simulacion!E59)/Resultados_Simulacion!E59</f>
        <v>0</v>
      </c>
      <c r="G73" s="8">
        <f>Resultados_Simulacion!F73</f>
        <v>50.753521110791119</v>
      </c>
      <c r="H73" s="10">
        <f>(G73-Resultados_Simulacion!F59)/Resultados_Simulacion!F59</f>
        <v>0</v>
      </c>
      <c r="I73" s="8">
        <f>Resultados_Simulacion!H73</f>
        <v>2.204915E-2</v>
      </c>
      <c r="J73" s="10">
        <f>(I73-Resultados_Simulacion!H59)/Resultados_Simulacion!H59</f>
        <v>0</v>
      </c>
      <c r="K73" s="8">
        <f>Resultados_Simulacion!I73</f>
        <v>1.434432822387521E-2</v>
      </c>
      <c r="L73" s="10">
        <f>(K73-Resultados_Simulacion!I59)/Resultados_Simulacion!I59</f>
        <v>-0.27802474036207159</v>
      </c>
    </row>
    <row r="74" spans="1:12" x14ac:dyDescent="0.3">
      <c r="A74" s="4">
        <v>92000</v>
      </c>
      <c r="B74" s="4" t="s">
        <v>43</v>
      </c>
      <c r="C74" s="8">
        <f>Resultados_Simulacion!C74</f>
        <v>1.3728199999999999</v>
      </c>
      <c r="D74" s="10">
        <f>(C74-Resultados_Simulacion!C59)/Resultados_Simulacion!C59</f>
        <v>0</v>
      </c>
      <c r="E74" s="8">
        <f>Resultados_Simulacion!E74</f>
        <v>3.8056369999999999E-2</v>
      </c>
      <c r="F74" s="10">
        <f>(E74-Resultados_Simulacion!E59)/Resultados_Simulacion!E59</f>
        <v>0</v>
      </c>
      <c r="G74" s="8">
        <f>Resultados_Simulacion!F74</f>
        <v>50.753521110791119</v>
      </c>
      <c r="H74" s="10">
        <f>(G74-Resultados_Simulacion!F59)/Resultados_Simulacion!F59</f>
        <v>0</v>
      </c>
      <c r="I74" s="8">
        <f>Resultados_Simulacion!H74</f>
        <v>2.204915E-2</v>
      </c>
      <c r="J74" s="10">
        <f>(I74-Resultados_Simulacion!H59)/Resultados_Simulacion!H59</f>
        <v>0</v>
      </c>
      <c r="K74" s="8">
        <f>Resultados_Simulacion!I74</f>
        <v>1.4279592292309431E-2</v>
      </c>
      <c r="L74" s="10">
        <f>(K74-Resultados_Simulacion!I59)/Resultados_Simulacion!I59</f>
        <v>-0.28128301361618707</v>
      </c>
    </row>
    <row r="75" spans="1:12" x14ac:dyDescent="0.3">
      <c r="A75" s="4">
        <v>92000</v>
      </c>
      <c r="B75" s="4" t="s">
        <v>45</v>
      </c>
      <c r="C75" s="8">
        <f>Resultados_Simulacion!C75</f>
        <v>1.3728199999999999</v>
      </c>
      <c r="D75" s="10">
        <f>(C75-Resultados_Simulacion!C59)/Resultados_Simulacion!C59</f>
        <v>0</v>
      </c>
      <c r="E75" s="8">
        <f>Resultados_Simulacion!E75</f>
        <v>3.8056369999999999E-2</v>
      </c>
      <c r="F75" s="10">
        <f>(E75-Resultados_Simulacion!E59)/Resultados_Simulacion!E59</f>
        <v>0</v>
      </c>
      <c r="G75" s="8">
        <f>Resultados_Simulacion!F75</f>
        <v>50.753521110791119</v>
      </c>
      <c r="H75" s="10">
        <f>(G75-Resultados_Simulacion!F59)/Resultados_Simulacion!F59</f>
        <v>0</v>
      </c>
      <c r="I75" s="8">
        <f>Resultados_Simulacion!H75</f>
        <v>2.204915E-2</v>
      </c>
      <c r="J75" s="10">
        <f>(I75-Resultados_Simulacion!H59)/Resultados_Simulacion!H59</f>
        <v>0</v>
      </c>
      <c r="K75" s="8">
        <f>Resultados_Simulacion!I75</f>
        <v>1.424062093711974E-2</v>
      </c>
      <c r="L75" s="10">
        <f>(K75-Resultados_Simulacion!I59)/Resultados_Simulacion!I59</f>
        <v>-0.28324451044213728</v>
      </c>
    </row>
    <row r="76" spans="1:12" x14ac:dyDescent="0.3">
      <c r="A76" s="4">
        <v>92000</v>
      </c>
      <c r="B76" s="4" t="s">
        <v>47</v>
      </c>
      <c r="C76" s="8">
        <f>Resultados_Simulacion!C76</f>
        <v>1.3728199999999999</v>
      </c>
      <c r="D76" s="10">
        <f>(C76-Resultados_Simulacion!C59)/Resultados_Simulacion!C59</f>
        <v>0</v>
      </c>
      <c r="E76" s="8">
        <f>Resultados_Simulacion!E76</f>
        <v>3.8056369999999999E-2</v>
      </c>
      <c r="F76" s="10">
        <f>(E76-Resultados_Simulacion!E59)/Resultados_Simulacion!E59</f>
        <v>0</v>
      </c>
      <c r="G76" s="8">
        <f>Resultados_Simulacion!F76</f>
        <v>50.753521110791119</v>
      </c>
      <c r="H76" s="10">
        <f>(G76-Resultados_Simulacion!F59)/Resultados_Simulacion!F59</f>
        <v>0</v>
      </c>
      <c r="I76" s="8">
        <f>Resultados_Simulacion!H76</f>
        <v>2.204915E-2</v>
      </c>
      <c r="J76" s="10">
        <f>(I76-Resultados_Simulacion!H59)/Resultados_Simulacion!H59</f>
        <v>0</v>
      </c>
      <c r="K76" s="8">
        <f>Resultados_Simulacion!I76</f>
        <v>1.428039825428256E-2</v>
      </c>
      <c r="L76" s="10">
        <f>(K76-Resultados_Simulacion!I59)/Resultados_Simulacion!I59</f>
        <v>-0.28124244813304095</v>
      </c>
    </row>
    <row r="77" spans="1:12" x14ac:dyDescent="0.3">
      <c r="A77" s="4">
        <v>92000</v>
      </c>
      <c r="B77" s="4" t="s">
        <v>49</v>
      </c>
      <c r="C77" s="8">
        <f>Resultados_Simulacion!C77</f>
        <v>1.3728199999999999</v>
      </c>
      <c r="D77" s="10">
        <f>(C77-Resultados_Simulacion!C59)/Resultados_Simulacion!C59</f>
        <v>0</v>
      </c>
      <c r="E77" s="8">
        <f>Resultados_Simulacion!E77</f>
        <v>3.8056369999999999E-2</v>
      </c>
      <c r="F77" s="10">
        <f>(E77-Resultados_Simulacion!E59)/Resultados_Simulacion!E59</f>
        <v>0</v>
      </c>
      <c r="G77" s="8">
        <f>Resultados_Simulacion!F77</f>
        <v>50.753521110791119</v>
      </c>
      <c r="H77" s="10">
        <f>(G77-Resultados_Simulacion!F59)/Resultados_Simulacion!F59</f>
        <v>0</v>
      </c>
      <c r="I77" s="8">
        <f>Resultados_Simulacion!H77</f>
        <v>2.204915E-2</v>
      </c>
      <c r="J77" s="10">
        <f>(I77-Resultados_Simulacion!H59)/Resultados_Simulacion!H59</f>
        <v>0</v>
      </c>
      <c r="K77" s="8">
        <f>Resultados_Simulacion!I77</f>
        <v>1.439040254312909E-2</v>
      </c>
      <c r="L77" s="10">
        <f>(K77-Resultados_Simulacion!I59)/Resultados_Simulacion!I59</f>
        <v>-0.27570573886637278</v>
      </c>
    </row>
    <row r="78" spans="1:12" x14ac:dyDescent="0.3">
      <c r="A78" s="12">
        <v>99000</v>
      </c>
      <c r="B78" s="12" t="s">
        <v>13</v>
      </c>
      <c r="C78" s="13">
        <f>Resultados_Simulacion!C78</f>
        <v>1.3696900000000001</v>
      </c>
      <c r="D78" s="14">
        <f>(C78-Resultados_Simulacion!C78)/Resultados_Simulacion!C78</f>
        <v>0</v>
      </c>
      <c r="E78" s="13">
        <f>Resultados_Simulacion!E78</f>
        <v>3.9006970000000002E-2</v>
      </c>
      <c r="F78" s="14">
        <f>(E78-Resultados_Simulacion!E78)/Resultados_Simulacion!E78</f>
        <v>0</v>
      </c>
      <c r="G78" s="13">
        <f>Resultados_Simulacion!F78</f>
        <v>52.83490243137534</v>
      </c>
      <c r="H78" s="14">
        <f>(G78-Resultados_Simulacion!F78)/Resultados_Simulacion!F78</f>
        <v>0</v>
      </c>
      <c r="I78" s="13">
        <f>Resultados_Simulacion!H78</f>
        <v>2.0758209999999999E-2</v>
      </c>
      <c r="J78" s="14">
        <f>(I78-Resultados_Simulacion!H78)/Resultados_Simulacion!H78</f>
        <v>0</v>
      </c>
      <c r="K78" s="13">
        <f>Resultados_Simulacion!I78</f>
        <v>1.84975188721903E-2</v>
      </c>
      <c r="L78" s="14">
        <f>(K78-Resultados_Simulacion!I78)/Resultados_Simulacion!I78</f>
        <v>0</v>
      </c>
    </row>
    <row r="79" spans="1:12" x14ac:dyDescent="0.3">
      <c r="A79" s="4">
        <v>99000</v>
      </c>
      <c r="B79" s="4" t="s">
        <v>15</v>
      </c>
      <c r="C79" s="8">
        <f>Resultados_Simulacion!C79</f>
        <v>1.3144819999999999</v>
      </c>
      <c r="D79" s="10">
        <f>(C79-Resultados_Simulacion!C78)/Resultados_Simulacion!C78</f>
        <v>-4.030693076535577E-2</v>
      </c>
      <c r="E79" s="8">
        <f>Resultados_Simulacion!E79</f>
        <v>5.5218459999999997E-2</v>
      </c>
      <c r="F79" s="10">
        <f>(E79-Resultados_Simulacion!E78)/Resultados_Simulacion!E78</f>
        <v>0.41560495470424885</v>
      </c>
      <c r="G79" s="8">
        <f>Resultados_Simulacion!F79</f>
        <v>40.954002153718562</v>
      </c>
      <c r="H79" s="10">
        <f>(G79-Resultados_Simulacion!F78)/Resultados_Simulacion!F78</f>
        <v>-0.22486840574917868</v>
      </c>
      <c r="I79" s="8">
        <f>Resultados_Simulacion!H79</f>
        <v>2.5007910000000001E-2</v>
      </c>
      <c r="J79" s="10">
        <f>(I79-Resultados_Simulacion!H78)/Resultados_Simulacion!H78</f>
        <v>0.20472381770875245</v>
      </c>
      <c r="K79" s="8">
        <f>Resultados_Simulacion!I79</f>
        <v>1.7871597441105811E-2</v>
      </c>
      <c r="L79" s="10">
        <f>(K79-Resultados_Simulacion!I78)/Resultados_Simulacion!I78</f>
        <v>-3.3838129070678624E-2</v>
      </c>
    </row>
    <row r="80" spans="1:12" x14ac:dyDescent="0.3">
      <c r="A80" s="4">
        <v>99000</v>
      </c>
      <c r="B80" s="4" t="s">
        <v>17</v>
      </c>
      <c r="C80" s="8">
        <f>Resultados_Simulacion!C80</f>
        <v>1.342962</v>
      </c>
      <c r="D80" s="10">
        <f>(C80-Resultados_Simulacion!C78)/Resultados_Simulacion!C78</f>
        <v>-1.9513904606151818E-2</v>
      </c>
      <c r="E80" s="8">
        <f>Resultados_Simulacion!E80</f>
        <v>4.9339260000000003E-2</v>
      </c>
      <c r="F80" s="10">
        <f>(E80-Resultados_Simulacion!E78)/Resultados_Simulacion!E78</f>
        <v>0.26488317344310519</v>
      </c>
      <c r="G80" s="8">
        <f>Resultados_Simulacion!F80</f>
        <v>43.37909325584927</v>
      </c>
      <c r="H80" s="10">
        <f>(G80-Resultados_Simulacion!F78)/Resultados_Simulacion!F78</f>
        <v>-0.17896899095834912</v>
      </c>
      <c r="I80" s="8">
        <f>Resultados_Simulacion!H80</f>
        <v>2.43663E-2</v>
      </c>
      <c r="J80" s="10">
        <f>(I80-Resultados_Simulacion!H78)/Resultados_Simulacion!H78</f>
        <v>0.17381508328511955</v>
      </c>
      <c r="K80" s="8">
        <f>Resultados_Simulacion!I80</f>
        <v>1.750134118693273E-2</v>
      </c>
      <c r="L80" s="10">
        <f>(K80-Resultados_Simulacion!I78)/Resultados_Simulacion!I78</f>
        <v>-5.38546651656754E-2</v>
      </c>
    </row>
    <row r="81" spans="1:12" x14ac:dyDescent="0.3">
      <c r="A81" s="4">
        <v>99000</v>
      </c>
      <c r="B81" s="4" t="s">
        <v>19</v>
      </c>
      <c r="C81" s="8">
        <f>Resultados_Simulacion!C81</f>
        <v>1.3696900000000001</v>
      </c>
      <c r="D81" s="10">
        <f>(C81-Resultados_Simulacion!C78)/Resultados_Simulacion!C78</f>
        <v>0</v>
      </c>
      <c r="E81" s="8">
        <f>Resultados_Simulacion!E81</f>
        <v>3.9007060000000003E-2</v>
      </c>
      <c r="F81" s="10">
        <f>(E81-Resultados_Simulacion!E78)/Resultados_Simulacion!E78</f>
        <v>2.307279955382339E-6</v>
      </c>
      <c r="G81" s="8">
        <f>Resultados_Simulacion!F81</f>
        <v>45.957369716557793</v>
      </c>
      <c r="H81" s="10">
        <f>(G81-Resultados_Simulacion!F78)/Resultados_Simulacion!F78</f>
        <v>-0.13017025485663453</v>
      </c>
      <c r="I81" s="8">
        <f>Resultados_Simulacion!H81</f>
        <v>2.4176710000000001E-2</v>
      </c>
      <c r="J81" s="10">
        <f>(I81-Resultados_Simulacion!H78)/Resultados_Simulacion!H78</f>
        <v>0.16468182950264024</v>
      </c>
      <c r="K81" s="8">
        <f>Resultados_Simulacion!I81</f>
        <v>1.7082559615792262E-2</v>
      </c>
      <c r="L81" s="10">
        <f>(K81-Resultados_Simulacion!I78)/Resultados_Simulacion!I78</f>
        <v>-7.6494543196565068E-2</v>
      </c>
    </row>
    <row r="82" spans="1:12" x14ac:dyDescent="0.3">
      <c r="A82" s="4">
        <v>99000</v>
      </c>
      <c r="B82" s="4" t="s">
        <v>21</v>
      </c>
      <c r="C82" s="8">
        <f>Resultados_Simulacion!C82</f>
        <v>1.3696900000000001</v>
      </c>
      <c r="D82" s="10">
        <f>(C82-Resultados_Simulacion!C78)/Resultados_Simulacion!C78</f>
        <v>0</v>
      </c>
      <c r="E82" s="8">
        <f>Resultados_Simulacion!E82</f>
        <v>3.9006970000000002E-2</v>
      </c>
      <c r="F82" s="10">
        <f>(E82-Resultados_Simulacion!E78)/Resultados_Simulacion!E78</f>
        <v>0</v>
      </c>
      <c r="G82" s="8">
        <f>Resultados_Simulacion!F82</f>
        <v>48.196771808513553</v>
      </c>
      <c r="H82" s="10">
        <f>(G82-Resultados_Simulacion!F78)/Resultados_Simulacion!F78</f>
        <v>-8.7785354177307845E-2</v>
      </c>
      <c r="I82" s="8">
        <f>Resultados_Simulacion!H82</f>
        <v>2.376377E-2</v>
      </c>
      <c r="J82" s="10">
        <f>(I82-Resultados_Simulacion!H78)/Resultados_Simulacion!H78</f>
        <v>0.14478897746963737</v>
      </c>
      <c r="K82" s="8">
        <f>Resultados_Simulacion!I82</f>
        <v>1.6660711508488388E-2</v>
      </c>
      <c r="L82" s="10">
        <f>(K82-Resultados_Simulacion!I78)/Resultados_Simulacion!I78</f>
        <v>-9.9300202172704383E-2</v>
      </c>
    </row>
    <row r="83" spans="1:12" x14ac:dyDescent="0.3">
      <c r="A83" s="4">
        <v>99000</v>
      </c>
      <c r="B83" s="4" t="s">
        <v>23</v>
      </c>
      <c r="C83" s="8">
        <f>Resultados_Simulacion!C83</f>
        <v>1.3696900000000001</v>
      </c>
      <c r="D83" s="10">
        <f>(C83-Resultados_Simulacion!C78)/Resultados_Simulacion!C78</f>
        <v>0</v>
      </c>
      <c r="E83" s="8">
        <f>Resultados_Simulacion!E83</f>
        <v>3.9006970000000002E-2</v>
      </c>
      <c r="F83" s="10">
        <f>(E83-Resultados_Simulacion!E78)/Resultados_Simulacion!E78</f>
        <v>0</v>
      </c>
      <c r="G83" s="8">
        <f>Resultados_Simulacion!F83</f>
        <v>49.739086635614363</v>
      </c>
      <c r="H83" s="10">
        <f>(G83-Resultados_Simulacion!F78)/Resultados_Simulacion!F78</f>
        <v>-5.8594142381203036E-2</v>
      </c>
      <c r="I83" s="8">
        <f>Resultados_Simulacion!H83</f>
        <v>2.3268259999999999E-2</v>
      </c>
      <c r="J83" s="10">
        <f>(I83-Resultados_Simulacion!H78)/Resultados_Simulacion!H78</f>
        <v>0.12091842215682373</v>
      </c>
      <c r="K83" s="8">
        <f>Resultados_Simulacion!I83</f>
        <v>1.628184082558401E-2</v>
      </c>
      <c r="L83" s="10">
        <f>(K83-Resultados_Simulacion!I78)/Resultados_Simulacion!I78</f>
        <v>-0.11978244552232377</v>
      </c>
    </row>
    <row r="84" spans="1:12" x14ac:dyDescent="0.3">
      <c r="A84" s="4">
        <v>99000</v>
      </c>
      <c r="B84" s="4" t="s">
        <v>25</v>
      </c>
      <c r="C84" s="8">
        <f>Resultados_Simulacion!C84</f>
        <v>1.3696900000000001</v>
      </c>
      <c r="D84" s="10">
        <f>(C84-Resultados_Simulacion!C78)/Resultados_Simulacion!C78</f>
        <v>0</v>
      </c>
      <c r="E84" s="8">
        <f>Resultados_Simulacion!E84</f>
        <v>3.9006970000000002E-2</v>
      </c>
      <c r="F84" s="10">
        <f>(E84-Resultados_Simulacion!E78)/Resultados_Simulacion!E78</f>
        <v>0</v>
      </c>
      <c r="G84" s="8">
        <f>Resultados_Simulacion!F84</f>
        <v>51.284670063959688</v>
      </c>
      <c r="H84" s="10">
        <f>(G84-Resultados_Simulacion!F78)/Resultados_Simulacion!F78</f>
        <v>-2.9341066152798776E-2</v>
      </c>
      <c r="I84" s="8">
        <f>Resultados_Simulacion!H84</f>
        <v>2.2461020000000002E-2</v>
      </c>
      <c r="J84" s="10">
        <f>(I84-Resultados_Simulacion!H78)/Resultados_Simulacion!H78</f>
        <v>8.2030676055401819E-2</v>
      </c>
      <c r="K84" s="8">
        <f>Resultados_Simulacion!I84</f>
        <v>1.5843481467888419E-2</v>
      </c>
      <c r="L84" s="10">
        <f>(K84-Resultados_Simulacion!I78)/Resultados_Simulacion!I78</f>
        <v>-0.14348072423334773</v>
      </c>
    </row>
    <row r="85" spans="1:12" x14ac:dyDescent="0.3">
      <c r="A85" s="4">
        <v>99000</v>
      </c>
      <c r="B85" s="4" t="s">
        <v>27</v>
      </c>
      <c r="C85" s="8">
        <f>Resultados_Simulacion!C85</f>
        <v>1.3696900000000001</v>
      </c>
      <c r="D85" s="10">
        <f>(C85-Resultados_Simulacion!C78)/Resultados_Simulacion!C78</f>
        <v>0</v>
      </c>
      <c r="E85" s="8">
        <f>Resultados_Simulacion!E85</f>
        <v>3.9006970000000002E-2</v>
      </c>
      <c r="F85" s="10">
        <f>(E85-Resultados_Simulacion!E78)/Resultados_Simulacion!E78</f>
        <v>0</v>
      </c>
      <c r="G85" s="8">
        <f>Resultados_Simulacion!F85</f>
        <v>52.879041976961283</v>
      </c>
      <c r="H85" s="10">
        <f>(G85-Resultados_Simulacion!F78)/Resultados_Simulacion!F78</f>
        <v>8.3542400108096765E-4</v>
      </c>
      <c r="I85" s="8">
        <f>Resultados_Simulacion!H85</f>
        <v>2.1275479999999999E-2</v>
      </c>
      <c r="J85" s="10">
        <f>(I85-Resultados_Simulacion!H78)/Resultados_Simulacion!H78</f>
        <v>2.4918815254301806E-2</v>
      </c>
      <c r="K85" s="8">
        <f>Resultados_Simulacion!I85</f>
        <v>1.5326057373825331E-2</v>
      </c>
      <c r="L85" s="10">
        <f>(K85-Resultados_Simulacion!I78)/Resultados_Simulacion!I78</f>
        <v>-0.1714533457313043</v>
      </c>
    </row>
    <row r="86" spans="1:12" x14ac:dyDescent="0.3">
      <c r="A86" s="4">
        <v>99000</v>
      </c>
      <c r="B86" s="4" t="s">
        <v>29</v>
      </c>
      <c r="C86" s="8">
        <f>Resultados_Simulacion!C86</f>
        <v>1.3696900000000001</v>
      </c>
      <c r="D86" s="10">
        <f>(C86-Resultados_Simulacion!C78)/Resultados_Simulacion!C78</f>
        <v>0</v>
      </c>
      <c r="E86" s="8">
        <f>Resultados_Simulacion!E86</f>
        <v>3.9006970000000002E-2</v>
      </c>
      <c r="F86" s="10">
        <f>(E86-Resultados_Simulacion!E78)/Resultados_Simulacion!E78</f>
        <v>0</v>
      </c>
      <c r="G86" s="8">
        <f>Resultados_Simulacion!F86</f>
        <v>53.467096441837121</v>
      </c>
      <c r="H86" s="10">
        <f>(G86-Resultados_Simulacion!F78)/Resultados_Simulacion!F78</f>
        <v>1.1965461870264768E-2</v>
      </c>
      <c r="I86" s="8">
        <f>Resultados_Simulacion!H86</f>
        <v>2.0770549999999999E-2</v>
      </c>
      <c r="J86" s="10">
        <f>(I86-Resultados_Simulacion!H78)/Resultados_Simulacion!H78</f>
        <v>5.9446358814173154E-4</v>
      </c>
      <c r="K86" s="8">
        <f>Resultados_Simulacion!I86</f>
        <v>1.5086374546378239E-2</v>
      </c>
      <c r="L86" s="10">
        <f>(K86-Resultados_Simulacion!I78)/Resultados_Simulacion!I78</f>
        <v>-0.18441091204618112</v>
      </c>
    </row>
    <row r="87" spans="1:12" x14ac:dyDescent="0.3">
      <c r="A87" s="4">
        <v>99000</v>
      </c>
      <c r="B87" s="4" t="s">
        <v>31</v>
      </c>
      <c r="C87" s="8">
        <f>Resultados_Simulacion!C87</f>
        <v>1.3696900000000001</v>
      </c>
      <c r="D87" s="10">
        <f>(C87-Resultados_Simulacion!C78)/Resultados_Simulacion!C78</f>
        <v>0</v>
      </c>
      <c r="E87" s="8">
        <f>Resultados_Simulacion!E87</f>
        <v>3.9006970000000002E-2</v>
      </c>
      <c r="F87" s="10">
        <f>(E87-Resultados_Simulacion!E78)/Resultados_Simulacion!E78</f>
        <v>0</v>
      </c>
      <c r="G87" s="8">
        <f>Resultados_Simulacion!F87</f>
        <v>53.896746467623707</v>
      </c>
      <c r="H87" s="10">
        <f>(G87-Resultados_Simulacion!F78)/Resultados_Simulacion!F78</f>
        <v>2.0097397503999252E-2</v>
      </c>
      <c r="I87" s="8">
        <f>Resultados_Simulacion!H87</f>
        <v>1.980678E-2</v>
      </c>
      <c r="J87" s="10">
        <f>(I87-Resultados_Simulacion!H78)/Resultados_Simulacion!H78</f>
        <v>-4.5833913425097815E-2</v>
      </c>
      <c r="K87" s="8">
        <f>Resultados_Simulacion!I87</f>
        <v>1.4870548773014761E-2</v>
      </c>
      <c r="L87" s="10">
        <f>(K87-Resultados_Simulacion!I78)/Resultados_Simulacion!I78</f>
        <v>-0.19607873489608546</v>
      </c>
    </row>
    <row r="88" spans="1:12" x14ac:dyDescent="0.3">
      <c r="A88" s="4">
        <v>99000</v>
      </c>
      <c r="B88" s="4" t="s">
        <v>33</v>
      </c>
      <c r="C88" s="8">
        <f>Resultados_Simulacion!C88</f>
        <v>1.3696900000000001</v>
      </c>
      <c r="D88" s="10">
        <f>(C88-Resultados_Simulacion!C78)/Resultados_Simulacion!C78</f>
        <v>0</v>
      </c>
      <c r="E88" s="8">
        <f>Resultados_Simulacion!E88</f>
        <v>3.9006970000000002E-2</v>
      </c>
      <c r="F88" s="10">
        <f>(E88-Resultados_Simulacion!E78)/Resultados_Simulacion!E78</f>
        <v>0</v>
      </c>
      <c r="G88" s="8">
        <f>Resultados_Simulacion!F88</f>
        <v>54.203651689182813</v>
      </c>
      <c r="H88" s="10">
        <f>(G88-Resultados_Simulacion!F78)/Resultados_Simulacion!F78</f>
        <v>2.5906156627908485E-2</v>
      </c>
      <c r="I88" s="8">
        <f>Resultados_Simulacion!H88</f>
        <v>1.853115E-2</v>
      </c>
      <c r="J88" s="10">
        <f>(I88-Resultados_Simulacion!H78)/Resultados_Simulacion!H78</f>
        <v>-0.10728574380931687</v>
      </c>
      <c r="K88" s="8">
        <f>Resultados_Simulacion!I88</f>
        <v>1.4507889120011479E-2</v>
      </c>
      <c r="L88" s="10">
        <f>(K88-Resultados_Simulacion!I78)/Resultados_Simulacion!I78</f>
        <v>-0.21568458882217681</v>
      </c>
    </row>
    <row r="89" spans="1:12" x14ac:dyDescent="0.3">
      <c r="A89" s="4">
        <v>99000</v>
      </c>
      <c r="B89" s="4" t="s">
        <v>35</v>
      </c>
      <c r="C89" s="8">
        <f>Resultados_Simulacion!C89</f>
        <v>1.3696900000000001</v>
      </c>
      <c r="D89" s="10">
        <f>(C89-Resultados_Simulacion!C78)/Resultados_Simulacion!C78</f>
        <v>0</v>
      </c>
      <c r="E89" s="8">
        <f>Resultados_Simulacion!E89</f>
        <v>3.9006970000000002E-2</v>
      </c>
      <c r="F89" s="10">
        <f>(E89-Resultados_Simulacion!E78)/Resultados_Simulacion!E78</f>
        <v>0</v>
      </c>
      <c r="G89" s="8">
        <f>Resultados_Simulacion!F89</f>
        <v>54.146879227116848</v>
      </c>
      <c r="H89" s="10">
        <f>(G89-Resultados_Simulacion!F78)/Resultados_Simulacion!F78</f>
        <v>2.483163089863883E-2</v>
      </c>
      <c r="I89" s="8">
        <f>Resultados_Simulacion!H89</f>
        <v>1.8200939999999999E-2</v>
      </c>
      <c r="J89" s="10">
        <f>(I89-Resultados_Simulacion!H78)/Resultados_Simulacion!H78</f>
        <v>-0.12319318476882161</v>
      </c>
      <c r="K89" s="8">
        <f>Resultados_Simulacion!I89</f>
        <v>1.434847861975143E-2</v>
      </c>
      <c r="L89" s="10">
        <f>(K89-Resultados_Simulacion!I78)/Resultados_Simulacion!I78</f>
        <v>-0.2243025284151301</v>
      </c>
    </row>
    <row r="90" spans="1:12" x14ac:dyDescent="0.3">
      <c r="A90" s="4">
        <v>99000</v>
      </c>
      <c r="B90" s="4" t="s">
        <v>37</v>
      </c>
      <c r="C90" s="8">
        <f>Resultados_Simulacion!C90</f>
        <v>1.3696900000000001</v>
      </c>
      <c r="D90" s="10">
        <f>(C90-Resultados_Simulacion!C78)/Resultados_Simulacion!C78</f>
        <v>0</v>
      </c>
      <c r="E90" s="8">
        <f>Resultados_Simulacion!E90</f>
        <v>3.9006970000000002E-2</v>
      </c>
      <c r="F90" s="10">
        <f>(E90-Resultados_Simulacion!E78)/Resultados_Simulacion!E78</f>
        <v>0</v>
      </c>
      <c r="G90" s="8">
        <f>Resultados_Simulacion!F90</f>
        <v>53.947799611088342</v>
      </c>
      <c r="H90" s="10">
        <f>(G90-Resultados_Simulacion!F78)/Resultados_Simulacion!F78</f>
        <v>2.1063674361062549E-2</v>
      </c>
      <c r="I90" s="8">
        <f>Resultados_Simulacion!H90</f>
        <v>1.790638E-2</v>
      </c>
      <c r="J90" s="10">
        <f>(I90-Resultados_Simulacion!H78)/Resultados_Simulacion!H78</f>
        <v>-0.1373832329473495</v>
      </c>
      <c r="K90" s="8">
        <f>Resultados_Simulacion!I90</f>
        <v>1.420072347352525E-2</v>
      </c>
      <c r="L90" s="10">
        <f>(K90-Resultados_Simulacion!I78)/Resultados_Simulacion!I78</f>
        <v>-0.23229036436475678</v>
      </c>
    </row>
    <row r="91" spans="1:12" x14ac:dyDescent="0.3">
      <c r="A91" s="4">
        <v>99000</v>
      </c>
      <c r="B91" s="4" t="s">
        <v>39</v>
      </c>
      <c r="C91" s="8">
        <f>Resultados_Simulacion!C91</f>
        <v>1.3696900000000001</v>
      </c>
      <c r="D91" s="10">
        <f>(C91-Resultados_Simulacion!C78)/Resultados_Simulacion!C78</f>
        <v>0</v>
      </c>
      <c r="E91" s="8">
        <f>Resultados_Simulacion!E91</f>
        <v>3.9006970000000002E-2</v>
      </c>
      <c r="F91" s="10">
        <f>(E91-Resultados_Simulacion!E78)/Resultados_Simulacion!E78</f>
        <v>0</v>
      </c>
      <c r="G91" s="8">
        <f>Resultados_Simulacion!F91</f>
        <v>53.116554871621283</v>
      </c>
      <c r="H91" s="10">
        <f>(G91-Resultados_Simulacion!F78)/Resultados_Simulacion!F78</f>
        <v>5.3308026945212339E-3</v>
      </c>
      <c r="I91" s="8">
        <f>Resultados_Simulacion!H91</f>
        <v>1.6838849999999999E-2</v>
      </c>
      <c r="J91" s="10">
        <f>(I91-Resultados_Simulacion!H78)/Resultados_Simulacion!H78</f>
        <v>-0.18881011416687665</v>
      </c>
      <c r="K91" s="8">
        <f>Resultados_Simulacion!I91</f>
        <v>1.394680386772797E-2</v>
      </c>
      <c r="L91" s="10">
        <f>(K91-Resultados_Simulacion!I78)/Resultados_Simulacion!I78</f>
        <v>-0.2460175894889344</v>
      </c>
    </row>
    <row r="92" spans="1:12" x14ac:dyDescent="0.3">
      <c r="A92" s="4">
        <v>99000</v>
      </c>
      <c r="B92" s="4" t="s">
        <v>41</v>
      </c>
      <c r="C92" s="8">
        <f>Resultados_Simulacion!C92</f>
        <v>1.3696900000000001</v>
      </c>
      <c r="D92" s="10">
        <f>(C92-Resultados_Simulacion!C78)/Resultados_Simulacion!C78</f>
        <v>0</v>
      </c>
      <c r="E92" s="8">
        <f>Resultados_Simulacion!E92</f>
        <v>3.9006970000000002E-2</v>
      </c>
      <c r="F92" s="10">
        <f>(E92-Resultados_Simulacion!E78)/Resultados_Simulacion!E78</f>
        <v>0</v>
      </c>
      <c r="G92" s="8">
        <f>Resultados_Simulacion!F92</f>
        <v>52.83490243137534</v>
      </c>
      <c r="H92" s="10">
        <f>(G92-Resultados_Simulacion!F78)/Resultados_Simulacion!F78</f>
        <v>0</v>
      </c>
      <c r="I92" s="8">
        <f>Resultados_Simulacion!H92</f>
        <v>2.0758209999999999E-2</v>
      </c>
      <c r="J92" s="10">
        <f>(I92-Resultados_Simulacion!H78)/Resultados_Simulacion!H78</f>
        <v>0</v>
      </c>
      <c r="K92" s="8">
        <f>Resultados_Simulacion!I92</f>
        <v>1.3849064944911031E-2</v>
      </c>
      <c r="L92" s="10">
        <f>(K92-Resultados_Simulacion!I78)/Resultados_Simulacion!I78</f>
        <v>-0.25130148315555378</v>
      </c>
    </row>
    <row r="93" spans="1:12" x14ac:dyDescent="0.3">
      <c r="A93" s="4">
        <v>99000</v>
      </c>
      <c r="B93" s="4" t="s">
        <v>43</v>
      </c>
      <c r="C93" s="8">
        <f>Resultados_Simulacion!C93</f>
        <v>1.3696900000000001</v>
      </c>
      <c r="D93" s="10">
        <f>(C93-Resultados_Simulacion!C78)/Resultados_Simulacion!C78</f>
        <v>0</v>
      </c>
      <c r="E93" s="8">
        <f>Resultados_Simulacion!E93</f>
        <v>3.9006970000000002E-2</v>
      </c>
      <c r="F93" s="10">
        <f>(E93-Resultados_Simulacion!E78)/Resultados_Simulacion!E78</f>
        <v>0</v>
      </c>
      <c r="G93" s="8">
        <f>Resultados_Simulacion!F93</f>
        <v>52.83490243137534</v>
      </c>
      <c r="H93" s="10">
        <f>(G93-Resultados_Simulacion!F78)/Resultados_Simulacion!F78</f>
        <v>0</v>
      </c>
      <c r="I93" s="8">
        <f>Resultados_Simulacion!H93</f>
        <v>2.0758209999999999E-2</v>
      </c>
      <c r="J93" s="10">
        <f>(I93-Resultados_Simulacion!H78)/Resultados_Simulacion!H78</f>
        <v>0</v>
      </c>
      <c r="K93" s="8">
        <f>Resultados_Simulacion!I93</f>
        <v>1.377716225246795E-2</v>
      </c>
      <c r="L93" s="10">
        <f>(K93-Resultados_Simulacion!I78)/Resultados_Simulacion!I78</f>
        <v>-0.25518863650514068</v>
      </c>
    </row>
    <row r="94" spans="1:12" x14ac:dyDescent="0.3">
      <c r="A94" s="4">
        <v>99000</v>
      </c>
      <c r="B94" s="4" t="s">
        <v>45</v>
      </c>
      <c r="C94" s="8">
        <f>Resultados_Simulacion!C94</f>
        <v>1.3696900000000001</v>
      </c>
      <c r="D94" s="10">
        <f>(C94-Resultados_Simulacion!C78)/Resultados_Simulacion!C78</f>
        <v>0</v>
      </c>
      <c r="E94" s="8">
        <f>Resultados_Simulacion!E94</f>
        <v>3.9006970000000002E-2</v>
      </c>
      <c r="F94" s="10">
        <f>(E94-Resultados_Simulacion!E78)/Resultados_Simulacion!E78</f>
        <v>0</v>
      </c>
      <c r="G94" s="8">
        <f>Resultados_Simulacion!F94</f>
        <v>52.83490243137534</v>
      </c>
      <c r="H94" s="10">
        <f>(G94-Resultados_Simulacion!F78)/Resultados_Simulacion!F78</f>
        <v>0</v>
      </c>
      <c r="I94" s="8">
        <f>Resultados_Simulacion!H94</f>
        <v>2.0758209999999999E-2</v>
      </c>
      <c r="J94" s="10">
        <f>(I94-Resultados_Simulacion!H78)/Resultados_Simulacion!H78</f>
        <v>0</v>
      </c>
      <c r="K94" s="8">
        <f>Resultados_Simulacion!I94</f>
        <v>1.3722391417816671E-2</v>
      </c>
      <c r="L94" s="10">
        <f>(K94-Resultados_Simulacion!I78)/Resultados_Simulacion!I78</f>
        <v>-0.25814961927422025</v>
      </c>
    </row>
    <row r="95" spans="1:12" x14ac:dyDescent="0.3">
      <c r="A95" s="4">
        <v>99000</v>
      </c>
      <c r="B95" s="4" t="s">
        <v>47</v>
      </c>
      <c r="C95" s="8">
        <f>Resultados_Simulacion!C95</f>
        <v>1.3696900000000001</v>
      </c>
      <c r="D95" s="10">
        <f>(C95-Resultados_Simulacion!C78)/Resultados_Simulacion!C78</f>
        <v>0</v>
      </c>
      <c r="E95" s="8">
        <f>Resultados_Simulacion!E95</f>
        <v>3.9006970000000002E-2</v>
      </c>
      <c r="F95" s="10">
        <f>(E95-Resultados_Simulacion!E78)/Resultados_Simulacion!E78</f>
        <v>0</v>
      </c>
      <c r="G95" s="8">
        <f>Resultados_Simulacion!F95</f>
        <v>52.83490243137534</v>
      </c>
      <c r="H95" s="10">
        <f>(G95-Resultados_Simulacion!F78)/Resultados_Simulacion!F78</f>
        <v>0</v>
      </c>
      <c r="I95" s="8">
        <f>Resultados_Simulacion!H95</f>
        <v>2.0758209999999999E-2</v>
      </c>
      <c r="J95" s="10">
        <f>(I95-Resultados_Simulacion!H78)/Resultados_Simulacion!H78</f>
        <v>0</v>
      </c>
      <c r="K95" s="8">
        <f>Resultados_Simulacion!I95</f>
        <v>1.3750655522294019E-2</v>
      </c>
      <c r="L95" s="10">
        <f>(K95-Resultados_Simulacion!I78)/Resultados_Simulacion!I78</f>
        <v>-0.25662162491602325</v>
      </c>
    </row>
    <row r="96" spans="1:12" x14ac:dyDescent="0.3">
      <c r="A96" s="4">
        <v>99000</v>
      </c>
      <c r="B96" s="4" t="s">
        <v>49</v>
      </c>
      <c r="C96" s="8">
        <f>Resultados_Simulacion!C96</f>
        <v>1.3696900000000001</v>
      </c>
      <c r="D96" s="10">
        <f>(C96-Resultados_Simulacion!C78)/Resultados_Simulacion!C78</f>
        <v>0</v>
      </c>
      <c r="E96" s="8">
        <f>Resultados_Simulacion!E96</f>
        <v>3.9006970000000002E-2</v>
      </c>
      <c r="F96" s="10">
        <f>(E96-Resultados_Simulacion!E78)/Resultados_Simulacion!E78</f>
        <v>0</v>
      </c>
      <c r="G96" s="8">
        <f>Resultados_Simulacion!F96</f>
        <v>52.83490243137534</v>
      </c>
      <c r="H96" s="10">
        <f>(G96-Resultados_Simulacion!F78)/Resultados_Simulacion!F78</f>
        <v>0</v>
      </c>
      <c r="I96" s="8">
        <f>Resultados_Simulacion!H96</f>
        <v>2.0758209999999999E-2</v>
      </c>
      <c r="J96" s="10">
        <f>(I96-Resultados_Simulacion!H78)/Resultados_Simulacion!H78</f>
        <v>0</v>
      </c>
      <c r="K96" s="8">
        <f>Resultados_Simulacion!I96</f>
        <v>1.384350338942803E-2</v>
      </c>
      <c r="L96" s="10">
        <f>(K96-Resultados_Simulacion!I78)/Resultados_Simulacion!I78</f>
        <v>-0.25160214809994064</v>
      </c>
    </row>
    <row r="97" spans="1:12" x14ac:dyDescent="0.3">
      <c r="A97" s="12">
        <v>119000</v>
      </c>
      <c r="B97" s="12" t="s">
        <v>13</v>
      </c>
      <c r="C97" s="13">
        <f>Resultados_Simulacion!C97</f>
        <v>1.368106</v>
      </c>
      <c r="D97" s="14">
        <f>(C97-Resultados_Simulacion!C97)/Resultados_Simulacion!C97</f>
        <v>0</v>
      </c>
      <c r="E97" s="13">
        <f>Resultados_Simulacion!E97</f>
        <v>3.9295389999999999E-2</v>
      </c>
      <c r="F97" s="14">
        <f>(E97-Resultados_Simulacion!E97)/Resultados_Simulacion!E97</f>
        <v>0</v>
      </c>
      <c r="G97" s="13">
        <f>Resultados_Simulacion!F97</f>
        <v>58.11281150372556</v>
      </c>
      <c r="H97" s="14">
        <f>(G97-Resultados_Simulacion!F97)/Resultados_Simulacion!F97</f>
        <v>0</v>
      </c>
      <c r="I97" s="13">
        <f>Resultados_Simulacion!H97</f>
        <v>1.846567E-2</v>
      </c>
      <c r="J97" s="14">
        <f>(I97-Resultados_Simulacion!H97)/Resultados_Simulacion!H97</f>
        <v>0</v>
      </c>
      <c r="K97" s="13">
        <f>Resultados_Simulacion!I97</f>
        <v>1.532627924846007E-2</v>
      </c>
      <c r="L97" s="14">
        <f>(K97-Resultados_Simulacion!I97)/Resultados_Simulacion!I97</f>
        <v>0</v>
      </c>
    </row>
    <row r="98" spans="1:12" x14ac:dyDescent="0.3">
      <c r="A98" s="4">
        <v>119000</v>
      </c>
      <c r="B98" s="4" t="s">
        <v>15</v>
      </c>
      <c r="C98" s="8">
        <f>Resultados_Simulacion!C98</f>
        <v>1.348201</v>
      </c>
      <c r="D98" s="10">
        <f>(C98-Resultados_Simulacion!C97)/Resultados_Simulacion!C97</f>
        <v>-1.4549311237579588E-2</v>
      </c>
      <c r="E98" s="8">
        <f>Resultados_Simulacion!E98</f>
        <v>5.0850319999999997E-2</v>
      </c>
      <c r="F98" s="10">
        <f>(E98-Resultados_Simulacion!E97)/Resultados_Simulacion!E97</f>
        <v>0.29405306831157541</v>
      </c>
      <c r="G98" s="8">
        <f>Resultados_Simulacion!F98</f>
        <v>44.21971146885766</v>
      </c>
      <c r="H98" s="10">
        <f>(G98-Resultados_Simulacion!F97)/Resultados_Simulacion!F97</f>
        <v>-0.23907120780031826</v>
      </c>
      <c r="I98" s="8">
        <f>Resultados_Simulacion!H98</f>
        <v>2.389898E-2</v>
      </c>
      <c r="J98" s="10">
        <f>(I98-Resultados_Simulacion!H97)/Resultados_Simulacion!H97</f>
        <v>0.29423844355498613</v>
      </c>
      <c r="K98" s="8">
        <f>Resultados_Simulacion!I98</f>
        <v>1.669525119707661E-2</v>
      </c>
      <c r="L98" s="10">
        <f>(K98-Resultados_Simulacion!I97)/Resultados_Simulacion!I97</f>
        <v>8.9321871696556032E-2</v>
      </c>
    </row>
    <row r="99" spans="1:12" x14ac:dyDescent="0.3">
      <c r="A99" s="4">
        <v>119000</v>
      </c>
      <c r="B99" s="4" t="s">
        <v>17</v>
      </c>
      <c r="C99" s="8">
        <f>Resultados_Simulacion!C99</f>
        <v>1.3609039999999999</v>
      </c>
      <c r="D99" s="10">
        <f>(C99-Resultados_Simulacion!C97)/Resultados_Simulacion!C97</f>
        <v>-5.2642119835744836E-3</v>
      </c>
      <c r="E99" s="8">
        <f>Resultados_Simulacion!E99</f>
        <v>4.1937950000000002E-2</v>
      </c>
      <c r="F99" s="10">
        <f>(E99-Resultados_Simulacion!E97)/Resultados_Simulacion!E97</f>
        <v>6.7248600917308679E-2</v>
      </c>
      <c r="G99" s="8">
        <f>Resultados_Simulacion!F99</f>
        <v>47.038970490593243</v>
      </c>
      <c r="H99" s="10">
        <f>(G99-Resultados_Simulacion!F97)/Resultados_Simulacion!F97</f>
        <v>-0.19055765375286279</v>
      </c>
      <c r="I99" s="8">
        <f>Resultados_Simulacion!H99</f>
        <v>2.319396E-2</v>
      </c>
      <c r="J99" s="10">
        <f>(I99-Resultados_Simulacion!H97)/Resultados_Simulacion!H97</f>
        <v>0.25605840459620471</v>
      </c>
      <c r="K99" s="8">
        <f>Resultados_Simulacion!I99</f>
        <v>1.6325606714389849E-2</v>
      </c>
      <c r="L99" s="10">
        <f>(K99-Resultados_Simulacion!I97)/Resultados_Simulacion!I97</f>
        <v>6.52035272050904E-2</v>
      </c>
    </row>
    <row r="100" spans="1:12" x14ac:dyDescent="0.3">
      <c r="A100" s="4">
        <v>119000</v>
      </c>
      <c r="B100" s="4" t="s">
        <v>19</v>
      </c>
      <c r="C100" s="8">
        <f>Resultados_Simulacion!C100</f>
        <v>1.368106</v>
      </c>
      <c r="D100" s="10">
        <f>(C100-Resultados_Simulacion!C97)/Resultados_Simulacion!C97</f>
        <v>0</v>
      </c>
      <c r="E100" s="8">
        <f>Resultados_Simulacion!E100</f>
        <v>3.9295389999999999E-2</v>
      </c>
      <c r="F100" s="10">
        <f>(E100-Resultados_Simulacion!E97)/Resultados_Simulacion!E97</f>
        <v>0</v>
      </c>
      <c r="G100" s="8">
        <f>Resultados_Simulacion!F100</f>
        <v>49.992939176557002</v>
      </c>
      <c r="H100" s="10">
        <f>(G100-Resultados_Simulacion!F97)/Resultados_Simulacion!F97</f>
        <v>-0.13972602799725153</v>
      </c>
      <c r="I100" s="8">
        <f>Resultados_Simulacion!H100</f>
        <v>2.251862E-2</v>
      </c>
      <c r="J100" s="10">
        <f>(I100-Resultados_Simulacion!H97)/Resultados_Simulacion!H97</f>
        <v>0.21948567260218554</v>
      </c>
      <c r="K100" s="8">
        <f>Resultados_Simulacion!I100</f>
        <v>1.5906787082838991E-2</v>
      </c>
      <c r="L100" s="10">
        <f>(K100-Resultados_Simulacion!I97)/Resultados_Simulacion!I97</f>
        <v>3.7876631696975534E-2</v>
      </c>
    </row>
    <row r="101" spans="1:12" x14ac:dyDescent="0.3">
      <c r="A101" s="4">
        <v>119000</v>
      </c>
      <c r="B101" s="4" t="s">
        <v>21</v>
      </c>
      <c r="C101" s="8">
        <f>Resultados_Simulacion!C101</f>
        <v>1.368106</v>
      </c>
      <c r="D101" s="10">
        <f>(C101-Resultados_Simulacion!C97)/Resultados_Simulacion!C97</f>
        <v>0</v>
      </c>
      <c r="E101" s="8">
        <f>Resultados_Simulacion!E101</f>
        <v>3.9295389999999999E-2</v>
      </c>
      <c r="F101" s="10">
        <f>(E101-Resultados_Simulacion!E97)/Resultados_Simulacion!E97</f>
        <v>0</v>
      </c>
      <c r="G101" s="8">
        <f>Resultados_Simulacion!F101</f>
        <v>52.545523877844552</v>
      </c>
      <c r="H101" s="10">
        <f>(G101-Resultados_Simulacion!F97)/Resultados_Simulacion!F97</f>
        <v>-9.5801381516777834E-2</v>
      </c>
      <c r="I101" s="8">
        <f>Resultados_Simulacion!H101</f>
        <v>2.2080720000000002E-2</v>
      </c>
      <c r="J101" s="10">
        <f>(I101-Resultados_Simulacion!H97)/Resultados_Simulacion!H97</f>
        <v>0.19577139632626389</v>
      </c>
      <c r="K101" s="8">
        <f>Resultados_Simulacion!I101</f>
        <v>1.5486694407889599E-2</v>
      </c>
      <c r="L101" s="10">
        <f>(K101-Resultados_Simulacion!I97)/Resultados_Simulacion!I97</f>
        <v>1.046667340643993E-2</v>
      </c>
    </row>
    <row r="102" spans="1:12" x14ac:dyDescent="0.3">
      <c r="A102" s="4">
        <v>119000</v>
      </c>
      <c r="B102" s="4" t="s">
        <v>23</v>
      </c>
      <c r="C102" s="8">
        <f>Resultados_Simulacion!C102</f>
        <v>1.368106</v>
      </c>
      <c r="D102" s="10">
        <f>(C102-Resultados_Simulacion!C97)/Resultados_Simulacion!C97</f>
        <v>0</v>
      </c>
      <c r="E102" s="8">
        <f>Resultados_Simulacion!E102</f>
        <v>3.9295389999999999E-2</v>
      </c>
      <c r="F102" s="10">
        <f>(E102-Resultados_Simulacion!E97)/Resultados_Simulacion!E97</f>
        <v>0</v>
      </c>
      <c r="G102" s="8">
        <f>Resultados_Simulacion!F102</f>
        <v>54.216955000328547</v>
      </c>
      <c r="H102" s="10">
        <f>(G102-Resultados_Simulacion!F97)/Resultados_Simulacion!F97</f>
        <v>-6.7039546058570126E-2</v>
      </c>
      <c r="I102" s="8">
        <f>Resultados_Simulacion!H102</f>
        <v>2.1610379999999998E-2</v>
      </c>
      <c r="J102" s="10">
        <f>(I102-Resultados_Simulacion!H97)/Resultados_Simulacion!H97</f>
        <v>0.17030034653494827</v>
      </c>
      <c r="K102" s="8">
        <f>Resultados_Simulacion!I102</f>
        <v>1.51078844194879E-2</v>
      </c>
      <c r="L102" s="10">
        <f>(K102-Resultados_Simulacion!I97)/Resultados_Simulacion!I97</f>
        <v>-1.4249696578777539E-2</v>
      </c>
    </row>
    <row r="103" spans="1:12" x14ac:dyDescent="0.3">
      <c r="A103" s="4">
        <v>119000</v>
      </c>
      <c r="B103" s="4" t="s">
        <v>25</v>
      </c>
      <c r="C103" s="8">
        <f>Resultados_Simulacion!C103</f>
        <v>1.368106</v>
      </c>
      <c r="D103" s="10">
        <f>(C103-Resultados_Simulacion!C97)/Resultados_Simulacion!C97</f>
        <v>0</v>
      </c>
      <c r="E103" s="8">
        <f>Resultados_Simulacion!E103</f>
        <v>3.9295389999999999E-2</v>
      </c>
      <c r="F103" s="10">
        <f>(E103-Resultados_Simulacion!E97)/Resultados_Simulacion!E97</f>
        <v>0</v>
      </c>
      <c r="G103" s="8">
        <f>Resultados_Simulacion!F103</f>
        <v>55.722498884076472</v>
      </c>
      <c r="H103" s="10">
        <f>(G103-Resultados_Simulacion!F97)/Resultados_Simulacion!F97</f>
        <v>-4.1132283188464333E-2</v>
      </c>
      <c r="I103" s="8">
        <f>Resultados_Simulacion!H103</f>
        <v>2.0901969999999999E-2</v>
      </c>
      <c r="J103" s="10">
        <f>(I103-Resultados_Simulacion!H97)/Resultados_Simulacion!H97</f>
        <v>0.13193672366071738</v>
      </c>
      <c r="K103" s="8">
        <f>Resultados_Simulacion!I103</f>
        <v>1.4674282985222281E-2</v>
      </c>
      <c r="L103" s="10">
        <f>(K103-Resultados_Simulacion!I97)/Resultados_Simulacion!I97</f>
        <v>-4.2541066404182842E-2</v>
      </c>
    </row>
    <row r="104" spans="1:12" x14ac:dyDescent="0.3">
      <c r="A104" s="4">
        <v>119000</v>
      </c>
      <c r="B104" s="4" t="s">
        <v>27</v>
      </c>
      <c r="C104" s="8">
        <f>Resultados_Simulacion!C104</f>
        <v>1.368106</v>
      </c>
      <c r="D104" s="10">
        <f>(C104-Resultados_Simulacion!C97)/Resultados_Simulacion!C97</f>
        <v>0</v>
      </c>
      <c r="E104" s="8">
        <f>Resultados_Simulacion!E104</f>
        <v>3.9295389999999999E-2</v>
      </c>
      <c r="F104" s="10">
        <f>(E104-Resultados_Simulacion!E97)/Resultados_Simulacion!E97</f>
        <v>0</v>
      </c>
      <c r="G104" s="8">
        <f>Resultados_Simulacion!F104</f>
        <v>57.340988113026917</v>
      </c>
      <c r="H104" s="10">
        <f>(G104-Resultados_Simulacion!F97)/Resultados_Simulacion!F97</f>
        <v>-1.3281467041895947E-2</v>
      </c>
      <c r="I104" s="8">
        <f>Resultados_Simulacion!H104</f>
        <v>1.936742E-2</v>
      </c>
      <c r="J104" s="10">
        <f>(I104-Resultados_Simulacion!H97)/Resultados_Simulacion!H97</f>
        <v>4.8833863055063792E-2</v>
      </c>
      <c r="K104" s="8">
        <f>Resultados_Simulacion!I104</f>
        <v>1.4169441195828761E-2</v>
      </c>
      <c r="L104" s="10">
        <f>(K104-Resultados_Simulacion!I97)/Resultados_Simulacion!I97</f>
        <v>-7.5480684768780018E-2</v>
      </c>
    </row>
    <row r="105" spans="1:12" x14ac:dyDescent="0.3">
      <c r="A105" s="4">
        <v>119000</v>
      </c>
      <c r="B105" s="4" t="s">
        <v>29</v>
      </c>
      <c r="C105" s="8">
        <f>Resultados_Simulacion!C105</f>
        <v>1.368106</v>
      </c>
      <c r="D105" s="10">
        <f>(C105-Resultados_Simulacion!C97)/Resultados_Simulacion!C97</f>
        <v>0</v>
      </c>
      <c r="E105" s="8">
        <f>Resultados_Simulacion!E105</f>
        <v>3.9295389999999999E-2</v>
      </c>
      <c r="F105" s="10">
        <f>(E105-Resultados_Simulacion!E97)/Resultados_Simulacion!E97</f>
        <v>0</v>
      </c>
      <c r="G105" s="8">
        <f>Resultados_Simulacion!F105</f>
        <v>57.975407813193428</v>
      </c>
      <c r="H105" s="10">
        <f>(G105-Resultados_Simulacion!F97)/Resultados_Simulacion!F97</f>
        <v>-2.3644302689317144E-3</v>
      </c>
      <c r="I105" s="8">
        <f>Resultados_Simulacion!H105</f>
        <v>1.888242E-2</v>
      </c>
      <c r="J105" s="10">
        <f>(I105-Resultados_Simulacion!H97)/Resultados_Simulacion!H97</f>
        <v>2.2568907599886733E-2</v>
      </c>
      <c r="K105" s="8">
        <f>Resultados_Simulacion!I105</f>
        <v>1.3935126334414089E-2</v>
      </c>
      <c r="L105" s="10">
        <f>(K105-Resultados_Simulacion!I97)/Resultados_Simulacion!I97</f>
        <v>-9.0769122204644614E-2</v>
      </c>
    </row>
    <row r="106" spans="1:12" x14ac:dyDescent="0.3">
      <c r="A106" s="4">
        <v>119000</v>
      </c>
      <c r="B106" s="4" t="s">
        <v>31</v>
      </c>
      <c r="C106" s="8">
        <f>Resultados_Simulacion!C106</f>
        <v>1.368106</v>
      </c>
      <c r="D106" s="10">
        <f>(C106-Resultados_Simulacion!C97)/Resultados_Simulacion!C97</f>
        <v>0</v>
      </c>
      <c r="E106" s="8">
        <f>Resultados_Simulacion!E106</f>
        <v>3.9295389999999999E-2</v>
      </c>
      <c r="F106" s="10">
        <f>(E106-Resultados_Simulacion!E97)/Resultados_Simulacion!E97</f>
        <v>0</v>
      </c>
      <c r="G106" s="8">
        <f>Resultados_Simulacion!F106</f>
        <v>58.462375291574944</v>
      </c>
      <c r="H106" s="10">
        <f>(G106-Resultados_Simulacion!F97)/Resultados_Simulacion!F97</f>
        <v>6.0152620188918858E-3</v>
      </c>
      <c r="I106" s="8">
        <f>Resultados_Simulacion!H106</f>
        <v>1.797994E-2</v>
      </c>
      <c r="J106" s="10">
        <f>(I106-Resultados_Simulacion!H97)/Resultados_Simulacion!H97</f>
        <v>-2.6304488274728196E-2</v>
      </c>
      <c r="K106" s="8">
        <f>Resultados_Simulacion!I106</f>
        <v>1.372275605714102E-2</v>
      </c>
      <c r="L106" s="10">
        <f>(K106-Resultados_Simulacion!I97)/Resultados_Simulacion!I97</f>
        <v>-0.10462573239882512</v>
      </c>
    </row>
    <row r="107" spans="1:12" x14ac:dyDescent="0.3">
      <c r="A107" s="4">
        <v>119000</v>
      </c>
      <c r="B107" s="4" t="s">
        <v>33</v>
      </c>
      <c r="C107" s="8">
        <f>Resultados_Simulacion!C107</f>
        <v>1.368106</v>
      </c>
      <c r="D107" s="10">
        <f>(C107-Resultados_Simulacion!C97)/Resultados_Simulacion!C97</f>
        <v>0</v>
      </c>
      <c r="E107" s="8">
        <f>Resultados_Simulacion!E107</f>
        <v>3.9295389999999999E-2</v>
      </c>
      <c r="F107" s="10">
        <f>(E107-Resultados_Simulacion!E97)/Resultados_Simulacion!E97</f>
        <v>0</v>
      </c>
      <c r="G107" s="8">
        <f>Resultados_Simulacion!F107</f>
        <v>58.883603392874733</v>
      </c>
      <c r="H107" s="10">
        <f>(G107-Resultados_Simulacion!F97)/Resultados_Simulacion!F97</f>
        <v>1.3263717056603916E-2</v>
      </c>
      <c r="I107" s="8">
        <f>Resultados_Simulacion!H107</f>
        <v>1.675865E-2</v>
      </c>
      <c r="J107" s="10">
        <f>(I107-Resultados_Simulacion!H97)/Resultados_Simulacion!H97</f>
        <v>-9.2442895383703927E-2</v>
      </c>
      <c r="K107" s="8">
        <f>Resultados_Simulacion!I107</f>
        <v>1.3360130255602769E-2</v>
      </c>
      <c r="L107" s="10">
        <f>(K107-Resultados_Simulacion!I97)/Resultados_Simulacion!I97</f>
        <v>-0.12828612613559501</v>
      </c>
    </row>
    <row r="108" spans="1:12" x14ac:dyDescent="0.3">
      <c r="A108" s="4">
        <v>119000</v>
      </c>
      <c r="B108" s="4" t="s">
        <v>35</v>
      </c>
      <c r="C108" s="8">
        <f>Resultados_Simulacion!C108</f>
        <v>1.368106</v>
      </c>
      <c r="D108" s="10">
        <f>(C108-Resultados_Simulacion!C97)/Resultados_Simulacion!C97</f>
        <v>0</v>
      </c>
      <c r="E108" s="8">
        <f>Resultados_Simulacion!E108</f>
        <v>3.9295389999999999E-2</v>
      </c>
      <c r="F108" s="10">
        <f>(E108-Resultados_Simulacion!E97)/Resultados_Simulacion!E97</f>
        <v>0</v>
      </c>
      <c r="G108" s="8">
        <f>Resultados_Simulacion!F108</f>
        <v>58.913938058892732</v>
      </c>
      <c r="H108" s="10">
        <f>(G108-Resultados_Simulacion!F97)/Resultados_Simulacion!F97</f>
        <v>1.3785713243555825E-2</v>
      </c>
      <c r="I108" s="8">
        <f>Resultados_Simulacion!H108</f>
        <v>1.6415269999999999E-2</v>
      </c>
      <c r="J108" s="10">
        <f>(I108-Resultados_Simulacion!H97)/Resultados_Simulacion!H97</f>
        <v>-0.11103848384596934</v>
      </c>
      <c r="K108" s="8">
        <f>Resultados_Simulacion!I108</f>
        <v>1.319742683484725E-2</v>
      </c>
      <c r="L108" s="10">
        <f>(K108-Resultados_Simulacion!I97)/Resultados_Simulacion!I97</f>
        <v>-0.13890210266309216</v>
      </c>
    </row>
    <row r="109" spans="1:12" x14ac:dyDescent="0.3">
      <c r="A109" s="4">
        <v>119000</v>
      </c>
      <c r="B109" s="4" t="s">
        <v>37</v>
      </c>
      <c r="C109" s="8">
        <f>Resultados_Simulacion!C109</f>
        <v>1.368106</v>
      </c>
      <c r="D109" s="10">
        <f>(C109-Resultados_Simulacion!C97)/Resultados_Simulacion!C97</f>
        <v>0</v>
      </c>
      <c r="E109" s="8">
        <f>Resultados_Simulacion!E109</f>
        <v>3.9295389999999999E-2</v>
      </c>
      <c r="F109" s="10">
        <f>(E109-Resultados_Simulacion!E97)/Resultados_Simulacion!E97</f>
        <v>0</v>
      </c>
      <c r="G109" s="8">
        <f>Resultados_Simulacion!F109</f>
        <v>58.813579746910918</v>
      </c>
      <c r="H109" s="10">
        <f>(G109-Resultados_Simulacion!F97)/Resultados_Simulacion!F97</f>
        <v>1.2058756495380241E-2</v>
      </c>
      <c r="I109" s="8">
        <f>Resultados_Simulacion!H109</f>
        <v>1.6098680000000001E-2</v>
      </c>
      <c r="J109" s="10">
        <f>(I109-Resultados_Simulacion!H97)/Resultados_Simulacion!H97</f>
        <v>-0.12818327198525692</v>
      </c>
      <c r="K109" s="8">
        <f>Resultados_Simulacion!I109</f>
        <v>1.304436330157894E-2</v>
      </c>
      <c r="L109" s="10">
        <f>(K109-Resultados_Simulacion!I97)/Resultados_Simulacion!I97</f>
        <v>-0.14888910151564727</v>
      </c>
    </row>
    <row r="110" spans="1:12" x14ac:dyDescent="0.3">
      <c r="A110" s="4">
        <v>119000</v>
      </c>
      <c r="B110" s="4" t="s">
        <v>39</v>
      </c>
      <c r="C110" s="8">
        <f>Resultados_Simulacion!C110</f>
        <v>1.368106</v>
      </c>
      <c r="D110" s="10">
        <f>(C110-Resultados_Simulacion!C97)/Resultados_Simulacion!C97</f>
        <v>0</v>
      </c>
      <c r="E110" s="8">
        <f>Resultados_Simulacion!E110</f>
        <v>3.9295389999999999E-2</v>
      </c>
      <c r="F110" s="10">
        <f>(E110-Resultados_Simulacion!E97)/Resultados_Simulacion!E97</f>
        <v>0</v>
      </c>
      <c r="G110" s="8">
        <f>Resultados_Simulacion!F110</f>
        <v>58.121242961375273</v>
      </c>
      <c r="H110" s="10">
        <f>(G110-Resultados_Simulacion!F97)/Resultados_Simulacion!F97</f>
        <v>1.450877600229857E-4</v>
      </c>
      <c r="I110" s="8">
        <f>Resultados_Simulacion!H110</f>
        <v>1.5564120000000001E-2</v>
      </c>
      <c r="J110" s="10">
        <f>(I110-Resultados_Simulacion!H97)/Resultados_Simulacion!H97</f>
        <v>-0.15713212680612182</v>
      </c>
      <c r="K110" s="8">
        <f>Resultados_Simulacion!I110</f>
        <v>1.2773740790054749E-2</v>
      </c>
      <c r="L110" s="10">
        <f>(K110-Resultados_Simulacion!I97)/Resultados_Simulacion!I97</f>
        <v>-0.16654651902299056</v>
      </c>
    </row>
    <row r="111" spans="1:12" x14ac:dyDescent="0.3">
      <c r="A111" s="4">
        <v>119000</v>
      </c>
      <c r="B111" s="4" t="s">
        <v>41</v>
      </c>
      <c r="C111" s="8">
        <f>Resultados_Simulacion!C111</f>
        <v>1.368106</v>
      </c>
      <c r="D111" s="10">
        <f>(C111-Resultados_Simulacion!C97)/Resultados_Simulacion!C97</f>
        <v>0</v>
      </c>
      <c r="E111" s="8">
        <f>Resultados_Simulacion!E111</f>
        <v>3.9295389999999999E-2</v>
      </c>
      <c r="F111" s="10">
        <f>(E111-Resultados_Simulacion!E97)/Resultados_Simulacion!E97</f>
        <v>0</v>
      </c>
      <c r="G111" s="8">
        <f>Resultados_Simulacion!F111</f>
        <v>58.11281150372556</v>
      </c>
      <c r="H111" s="10">
        <f>(G111-Resultados_Simulacion!F97)/Resultados_Simulacion!F97</f>
        <v>0</v>
      </c>
      <c r="I111" s="8">
        <f>Resultados_Simulacion!H111</f>
        <v>1.846567E-2</v>
      </c>
      <c r="J111" s="10">
        <f>(I111-Resultados_Simulacion!H97)/Resultados_Simulacion!H97</f>
        <v>0</v>
      </c>
      <c r="K111" s="8">
        <f>Resultados_Simulacion!I111</f>
        <v>1.2663729560854591E-2</v>
      </c>
      <c r="L111" s="10">
        <f>(K111-Resultados_Simulacion!I97)/Resultados_Simulacion!I97</f>
        <v>-0.17372446661331734</v>
      </c>
    </row>
    <row r="112" spans="1:12" x14ac:dyDescent="0.3">
      <c r="A112" s="4">
        <v>119000</v>
      </c>
      <c r="B112" s="4" t="s">
        <v>43</v>
      </c>
      <c r="C112" s="8">
        <f>Resultados_Simulacion!C112</f>
        <v>1.368106</v>
      </c>
      <c r="D112" s="10">
        <f>(C112-Resultados_Simulacion!C97)/Resultados_Simulacion!C97</f>
        <v>0</v>
      </c>
      <c r="E112" s="8">
        <f>Resultados_Simulacion!E112</f>
        <v>3.9295389999999999E-2</v>
      </c>
      <c r="F112" s="10">
        <f>(E112-Resultados_Simulacion!E97)/Resultados_Simulacion!E97</f>
        <v>0</v>
      </c>
      <c r="G112" s="8">
        <f>Resultados_Simulacion!F112</f>
        <v>58.11281150372556</v>
      </c>
      <c r="H112" s="10">
        <f>(G112-Resultados_Simulacion!F97)/Resultados_Simulacion!F97</f>
        <v>0</v>
      </c>
      <c r="I112" s="8">
        <f>Resultados_Simulacion!H112</f>
        <v>1.846567E-2</v>
      </c>
      <c r="J112" s="10">
        <f>(I112-Resultados_Simulacion!H97)/Resultados_Simulacion!H97</f>
        <v>0</v>
      </c>
      <c r="K112" s="8">
        <f>Resultados_Simulacion!I112</f>
        <v>1.2577939979532309E-2</v>
      </c>
      <c r="L112" s="10">
        <f>(K112-Resultados_Simulacion!I97)/Resultados_Simulacion!I97</f>
        <v>-0.17932201445461099</v>
      </c>
    </row>
    <row r="113" spans="1:12" x14ac:dyDescent="0.3">
      <c r="A113" s="4">
        <v>119000</v>
      </c>
      <c r="B113" s="4" t="s">
        <v>45</v>
      </c>
      <c r="C113" s="8">
        <f>Resultados_Simulacion!C113</f>
        <v>1.368106</v>
      </c>
      <c r="D113" s="10">
        <f>(C113-Resultados_Simulacion!C97)/Resultados_Simulacion!C97</f>
        <v>0</v>
      </c>
      <c r="E113" s="8">
        <f>Resultados_Simulacion!E113</f>
        <v>3.9295389999999999E-2</v>
      </c>
      <c r="F113" s="10">
        <f>(E113-Resultados_Simulacion!E97)/Resultados_Simulacion!E97</f>
        <v>0</v>
      </c>
      <c r="G113" s="8">
        <f>Resultados_Simulacion!F113</f>
        <v>58.11281150372556</v>
      </c>
      <c r="H113" s="10">
        <f>(G113-Resultados_Simulacion!F97)/Resultados_Simulacion!F97</f>
        <v>0</v>
      </c>
      <c r="I113" s="8">
        <f>Resultados_Simulacion!H113</f>
        <v>1.846567E-2</v>
      </c>
      <c r="J113" s="10">
        <f>(I113-Resultados_Simulacion!H97)/Resultados_Simulacion!H97</f>
        <v>0</v>
      </c>
      <c r="K113" s="8">
        <f>Resultados_Simulacion!I113</f>
        <v>1.2484074907361651E-2</v>
      </c>
      <c r="L113" s="10">
        <f>(K113-Resultados_Simulacion!I97)/Resultados_Simulacion!I97</f>
        <v>-0.18544646714459376</v>
      </c>
    </row>
    <row r="114" spans="1:12" x14ac:dyDescent="0.3">
      <c r="A114" s="4">
        <v>119000</v>
      </c>
      <c r="B114" s="4" t="s">
        <v>47</v>
      </c>
      <c r="C114" s="8">
        <f>Resultados_Simulacion!C114</f>
        <v>1.368106</v>
      </c>
      <c r="D114" s="10">
        <f>(C114-Resultados_Simulacion!C97)/Resultados_Simulacion!C97</f>
        <v>0</v>
      </c>
      <c r="E114" s="8">
        <f>Resultados_Simulacion!E114</f>
        <v>3.9295389999999999E-2</v>
      </c>
      <c r="F114" s="10">
        <f>(E114-Resultados_Simulacion!E97)/Resultados_Simulacion!E97</f>
        <v>0</v>
      </c>
      <c r="G114" s="8">
        <f>Resultados_Simulacion!F114</f>
        <v>58.11281150372556</v>
      </c>
      <c r="H114" s="10">
        <f>(G114-Resultados_Simulacion!F97)/Resultados_Simulacion!F97</f>
        <v>0</v>
      </c>
      <c r="I114" s="8">
        <f>Resultados_Simulacion!H114</f>
        <v>1.846567E-2</v>
      </c>
      <c r="J114" s="10">
        <f>(I114-Resultados_Simulacion!H97)/Resultados_Simulacion!H97</f>
        <v>0</v>
      </c>
      <c r="K114" s="8">
        <f>Resultados_Simulacion!I114</f>
        <v>1.24869460044271E-2</v>
      </c>
      <c r="L114" s="10">
        <f>(K114-Resultados_Simulacion!I97)/Resultados_Simulacion!I97</f>
        <v>-0.18525913550206627</v>
      </c>
    </row>
    <row r="115" spans="1:12" x14ac:dyDescent="0.3">
      <c r="A115" s="4">
        <v>119000</v>
      </c>
      <c r="B115" s="4" t="s">
        <v>49</v>
      </c>
      <c r="C115" s="8">
        <f>Resultados_Simulacion!C115</f>
        <v>1.368106</v>
      </c>
      <c r="D115" s="10">
        <f>(C115-Resultados_Simulacion!C97)/Resultados_Simulacion!C97</f>
        <v>0</v>
      </c>
      <c r="E115" s="8">
        <f>Resultados_Simulacion!E115</f>
        <v>3.9295389999999999E-2</v>
      </c>
      <c r="F115" s="10">
        <f>(E115-Resultados_Simulacion!E97)/Resultados_Simulacion!E97</f>
        <v>0</v>
      </c>
      <c r="G115" s="8">
        <f>Resultados_Simulacion!F115</f>
        <v>58.11281150372556</v>
      </c>
      <c r="H115" s="10">
        <f>(G115-Resultados_Simulacion!F97)/Resultados_Simulacion!F97</f>
        <v>0</v>
      </c>
      <c r="I115" s="8">
        <f>Resultados_Simulacion!H115</f>
        <v>1.846567E-2</v>
      </c>
      <c r="J115" s="10">
        <f>(I115-Resultados_Simulacion!H97)/Resultados_Simulacion!H97</f>
        <v>0</v>
      </c>
      <c r="K115" s="8">
        <f>Resultados_Simulacion!I115</f>
        <v>1.2542530792631811E-2</v>
      </c>
      <c r="L115" s="10">
        <f>(K115-Resultados_Simulacion!I97)/Resultados_Simulacion!I97</f>
        <v>-0.18163237213023903</v>
      </c>
    </row>
    <row r="116" spans="1:12" x14ac:dyDescent="0.3">
      <c r="A116" s="12">
        <v>126000</v>
      </c>
      <c r="B116" s="12" t="s">
        <v>13</v>
      </c>
      <c r="C116" s="13">
        <f>Resultados_Simulacion!C116</f>
        <v>1.3695759999999999</v>
      </c>
      <c r="D116" s="14">
        <f>(C116-Resultados_Simulacion!C116)/Resultados_Simulacion!C116</f>
        <v>0</v>
      </c>
      <c r="E116" s="13">
        <f>Resultados_Simulacion!E116</f>
        <v>3.8824659999999997E-2</v>
      </c>
      <c r="F116" s="14">
        <f>(E116-Resultados_Simulacion!E116)/Resultados_Simulacion!E116</f>
        <v>0</v>
      </c>
      <c r="G116" s="13">
        <f>Resultados_Simulacion!F116</f>
        <v>59.63157404419885</v>
      </c>
      <c r="H116" s="14">
        <f>(G116-Resultados_Simulacion!F116)/Resultados_Simulacion!F116</f>
        <v>0</v>
      </c>
      <c r="I116" s="13">
        <f>Resultados_Simulacion!H116</f>
        <v>1.7604080000000001E-2</v>
      </c>
      <c r="J116" s="14">
        <f>(I116-Resultados_Simulacion!H116)/Resultados_Simulacion!H116</f>
        <v>0</v>
      </c>
      <c r="K116" s="13">
        <f>Resultados_Simulacion!I116</f>
        <v>1.4604451493381279E-2</v>
      </c>
      <c r="L116" s="14">
        <f>(K116-Resultados_Simulacion!I116)/Resultados_Simulacion!I116</f>
        <v>0</v>
      </c>
    </row>
    <row r="117" spans="1:12" x14ac:dyDescent="0.3">
      <c r="A117" s="4">
        <v>126000</v>
      </c>
      <c r="B117" s="4" t="s">
        <v>15</v>
      </c>
      <c r="C117" s="8">
        <f>Resultados_Simulacion!C117</f>
        <v>1.3561879999999999</v>
      </c>
      <c r="D117" s="10">
        <f>(C117-Resultados_Simulacion!C116)/Resultados_Simulacion!C116</f>
        <v>-9.7752881183665284E-3</v>
      </c>
      <c r="E117" s="8">
        <f>Resultados_Simulacion!E117</f>
        <v>4.7177919999999998E-2</v>
      </c>
      <c r="F117" s="10">
        <f>(E117-Resultados_Simulacion!E116)/Resultados_Simulacion!E116</f>
        <v>0.2151534617431293</v>
      </c>
      <c r="G117" s="8">
        <f>Resultados_Simulacion!F117</f>
        <v>45.165615850990257</v>
      </c>
      <c r="H117" s="10">
        <f>(G117-Resultados_Simulacion!F116)/Resultados_Simulacion!F116</f>
        <v>-0.2425889040340683</v>
      </c>
      <c r="I117" s="8">
        <f>Resultados_Simulacion!H117</f>
        <v>2.3469070000000002E-2</v>
      </c>
      <c r="J117" s="10">
        <f>(I117-Resultados_Simulacion!H116)/Resultados_Simulacion!H116</f>
        <v>0.33316083544269282</v>
      </c>
      <c r="K117" s="8">
        <f>Resultados_Simulacion!I117</f>
        <v>1.637887840972365E-2</v>
      </c>
      <c r="L117" s="10">
        <f>(K117-Resultados_Simulacion!I116)/Resultados_Simulacion!I116</f>
        <v>0.12149904548942075</v>
      </c>
    </row>
    <row r="118" spans="1:12" x14ac:dyDescent="0.3">
      <c r="A118" s="4">
        <v>126000</v>
      </c>
      <c r="B118" s="4" t="s">
        <v>17</v>
      </c>
      <c r="C118" s="8">
        <f>Resultados_Simulacion!C118</f>
        <v>1.3669819999999999</v>
      </c>
      <c r="D118" s="10">
        <f>(C118-Resultados_Simulacion!C116)/Resultados_Simulacion!C116</f>
        <v>-1.8940168344071344E-3</v>
      </c>
      <c r="E118" s="8">
        <f>Resultados_Simulacion!E118</f>
        <v>4.118782E-2</v>
      </c>
      <c r="F118" s="10">
        <f>(E118-Resultados_Simulacion!E116)/Resultados_Simulacion!E116</f>
        <v>6.0867500191888434E-2</v>
      </c>
      <c r="G118" s="8">
        <f>Resultados_Simulacion!F118</f>
        <v>48.095919029208297</v>
      </c>
      <c r="H118" s="10">
        <f>(G118-Resultados_Simulacion!F116)/Resultados_Simulacion!F116</f>
        <v>-0.19344877608698272</v>
      </c>
      <c r="I118" s="8">
        <f>Resultados_Simulacion!H118</f>
        <v>2.2755859999999999E-2</v>
      </c>
      <c r="J118" s="10">
        <f>(I118-Resultados_Simulacion!H116)/Resultados_Simulacion!H116</f>
        <v>0.29264693184761703</v>
      </c>
      <c r="K118" s="8">
        <f>Resultados_Simulacion!I118</f>
        <v>1.600956491381644E-2</v>
      </c>
      <c r="L118" s="10">
        <f>(K118-Resultados_Simulacion!I116)/Resultados_Simulacion!I116</f>
        <v>9.6211310713857065E-2</v>
      </c>
    </row>
    <row r="119" spans="1:12" x14ac:dyDescent="0.3">
      <c r="A119" s="4">
        <v>126000</v>
      </c>
      <c r="B119" s="4" t="s">
        <v>19</v>
      </c>
      <c r="C119" s="8">
        <f>Resultados_Simulacion!C119</f>
        <v>1.3695759999999999</v>
      </c>
      <c r="D119" s="10">
        <f>(C119-Resultados_Simulacion!C116)/Resultados_Simulacion!C116</f>
        <v>0</v>
      </c>
      <c r="E119" s="8">
        <f>Resultados_Simulacion!E119</f>
        <v>3.8824659999999997E-2</v>
      </c>
      <c r="F119" s="10">
        <f>(E119-Resultados_Simulacion!E116)/Resultados_Simulacion!E116</f>
        <v>0</v>
      </c>
      <c r="G119" s="8">
        <f>Resultados_Simulacion!F119</f>
        <v>51.159896789344081</v>
      </c>
      <c r="H119" s="10">
        <f>(G119-Resultados_Simulacion!F116)/Resultados_Simulacion!F116</f>
        <v>-0.1420669735897894</v>
      </c>
      <c r="I119" s="8">
        <f>Resultados_Simulacion!H119</f>
        <v>2.2075239999999999E-2</v>
      </c>
      <c r="J119" s="10">
        <f>(I119-Resultados_Simulacion!H116)/Resultados_Simulacion!H116</f>
        <v>0.25398430363870184</v>
      </c>
      <c r="K119" s="8">
        <f>Resultados_Simulacion!I119</f>
        <v>1.5590461571262071E-2</v>
      </c>
      <c r="L119" s="10">
        <f>(K119-Resultados_Simulacion!I116)/Resultados_Simulacion!I116</f>
        <v>6.7514351930823946E-2</v>
      </c>
    </row>
    <row r="120" spans="1:12" x14ac:dyDescent="0.3">
      <c r="A120" s="4">
        <v>126000</v>
      </c>
      <c r="B120" s="4" t="s">
        <v>21</v>
      </c>
      <c r="C120" s="8">
        <f>Resultados_Simulacion!C120</f>
        <v>1.3695759999999999</v>
      </c>
      <c r="D120" s="10">
        <f>(C120-Resultados_Simulacion!C116)/Resultados_Simulacion!C116</f>
        <v>0</v>
      </c>
      <c r="E120" s="8">
        <f>Resultados_Simulacion!E120</f>
        <v>3.8824659999999997E-2</v>
      </c>
      <c r="F120" s="10">
        <f>(E120-Resultados_Simulacion!E116)/Resultados_Simulacion!E116</f>
        <v>0</v>
      </c>
      <c r="G120" s="8">
        <f>Resultados_Simulacion!F120</f>
        <v>53.809854697784431</v>
      </c>
      <c r="H120" s="10">
        <f>(G120-Resultados_Simulacion!F116)/Resultados_Simulacion!F116</f>
        <v>-9.7628134754574269E-2</v>
      </c>
      <c r="I120" s="8">
        <f>Resultados_Simulacion!H120</f>
        <v>2.1630090000000001E-2</v>
      </c>
      <c r="J120" s="10">
        <f>(I120-Resultados_Simulacion!H116)/Resultados_Simulacion!H116</f>
        <v>0.22869755193114322</v>
      </c>
      <c r="K120" s="8">
        <f>Resultados_Simulacion!I120</f>
        <v>1.5170545069825519E-2</v>
      </c>
      <c r="L120" s="10">
        <f>(K120-Resultados_Simulacion!I116)/Resultados_Simulacion!I116</f>
        <v>3.8761714310242508E-2</v>
      </c>
    </row>
    <row r="121" spans="1:12" x14ac:dyDescent="0.3">
      <c r="A121" s="4">
        <v>126000</v>
      </c>
      <c r="B121" s="4" t="s">
        <v>23</v>
      </c>
      <c r="C121" s="8">
        <f>Resultados_Simulacion!C121</f>
        <v>1.3695759999999999</v>
      </c>
      <c r="D121" s="10">
        <f>(C121-Resultados_Simulacion!C116)/Resultados_Simulacion!C116</f>
        <v>0</v>
      </c>
      <c r="E121" s="8">
        <f>Resultados_Simulacion!E121</f>
        <v>3.8824659999999997E-2</v>
      </c>
      <c r="F121" s="10">
        <f>(E121-Resultados_Simulacion!E116)/Resultados_Simulacion!E116</f>
        <v>0</v>
      </c>
      <c r="G121" s="8">
        <f>Resultados_Simulacion!F121</f>
        <v>55.525846786539113</v>
      </c>
      <c r="H121" s="10">
        <f>(G121-Resultados_Simulacion!F116)/Resultados_Simulacion!F116</f>
        <v>-6.8851566028033689E-2</v>
      </c>
      <c r="I121" s="8">
        <f>Resultados_Simulacion!H121</f>
        <v>2.1164720000000001E-2</v>
      </c>
      <c r="J121" s="10">
        <f>(I121-Resultados_Simulacion!H116)/Resultados_Simulacion!H116</f>
        <v>0.202262202852975</v>
      </c>
      <c r="K121" s="8">
        <f>Resultados_Simulacion!I121</f>
        <v>1.4791546820017661E-2</v>
      </c>
      <c r="L121" s="10">
        <f>(K121-Resultados_Simulacion!I116)/Resultados_Simulacion!I116</f>
        <v>1.2810842414805684E-2</v>
      </c>
    </row>
    <row r="122" spans="1:12" x14ac:dyDescent="0.3">
      <c r="A122" s="4">
        <v>126000</v>
      </c>
      <c r="B122" s="4" t="s">
        <v>25</v>
      </c>
      <c r="C122" s="8">
        <f>Resultados_Simulacion!C122</f>
        <v>1.3695759999999999</v>
      </c>
      <c r="D122" s="10">
        <f>(C122-Resultados_Simulacion!C116)/Resultados_Simulacion!C116</f>
        <v>0</v>
      </c>
      <c r="E122" s="8">
        <f>Resultados_Simulacion!E122</f>
        <v>3.8824659999999997E-2</v>
      </c>
      <c r="F122" s="10">
        <f>(E122-Resultados_Simulacion!E116)/Resultados_Simulacion!E116</f>
        <v>0</v>
      </c>
      <c r="G122" s="8">
        <f>Resultados_Simulacion!F122</f>
        <v>57.022448594973213</v>
      </c>
      <c r="H122" s="10">
        <f>(G122-Resultados_Simulacion!F116)/Resultados_Simulacion!F116</f>
        <v>-4.3754093213970106E-2</v>
      </c>
      <c r="I122" s="8">
        <f>Resultados_Simulacion!H122</f>
        <v>2.048146E-2</v>
      </c>
      <c r="J122" s="10">
        <f>(I122-Resultados_Simulacion!H116)/Resultados_Simulacion!H116</f>
        <v>0.16344960940872791</v>
      </c>
      <c r="K122" s="8">
        <f>Resultados_Simulacion!I122</f>
        <v>1.435938096919271E-2</v>
      </c>
      <c r="L122" s="10">
        <f>(K122-Resultados_Simulacion!I116)/Resultados_Simulacion!I116</f>
        <v>-1.6780536009834739E-2</v>
      </c>
    </row>
    <row r="123" spans="1:12" x14ac:dyDescent="0.3">
      <c r="A123" s="4">
        <v>126000</v>
      </c>
      <c r="B123" s="4" t="s">
        <v>27</v>
      </c>
      <c r="C123" s="8">
        <f>Resultados_Simulacion!C123</f>
        <v>1.3695759999999999</v>
      </c>
      <c r="D123" s="10">
        <f>(C123-Resultados_Simulacion!C116)/Resultados_Simulacion!C116</f>
        <v>0</v>
      </c>
      <c r="E123" s="8">
        <f>Resultados_Simulacion!E123</f>
        <v>3.8824659999999997E-2</v>
      </c>
      <c r="F123" s="10">
        <f>(E123-Resultados_Simulacion!E116)/Resultados_Simulacion!E116</f>
        <v>0</v>
      </c>
      <c r="G123" s="8">
        <f>Resultados_Simulacion!F123</f>
        <v>58.65941654847731</v>
      </c>
      <c r="H123" s="10">
        <f>(G123-Resultados_Simulacion!F116)/Resultados_Simulacion!F116</f>
        <v>-1.6302730747992291E-2</v>
      </c>
      <c r="I123" s="8">
        <f>Resultados_Simulacion!H123</f>
        <v>1.8980839999999999E-2</v>
      </c>
      <c r="J123" s="10">
        <f>(I123-Resultados_Simulacion!H116)/Resultados_Simulacion!H116</f>
        <v>7.8206870225538488E-2</v>
      </c>
      <c r="K123" s="8">
        <f>Resultados_Simulacion!I123</f>
        <v>1.3857196782457139E-2</v>
      </c>
      <c r="L123" s="10">
        <f>(K123-Resultados_Simulacion!I116)/Resultados_Simulacion!I116</f>
        <v>-5.1166229095477841E-2</v>
      </c>
    </row>
    <row r="124" spans="1:12" x14ac:dyDescent="0.3">
      <c r="A124" s="4">
        <v>126000</v>
      </c>
      <c r="B124" s="4" t="s">
        <v>29</v>
      </c>
      <c r="C124" s="8">
        <f>Resultados_Simulacion!C124</f>
        <v>1.3695759999999999</v>
      </c>
      <c r="D124" s="10">
        <f>(C124-Resultados_Simulacion!C116)/Resultados_Simulacion!C116</f>
        <v>0</v>
      </c>
      <c r="E124" s="8">
        <f>Resultados_Simulacion!E124</f>
        <v>3.8824659999999997E-2</v>
      </c>
      <c r="F124" s="10">
        <f>(E124-Resultados_Simulacion!E116)/Resultados_Simulacion!E116</f>
        <v>0</v>
      </c>
      <c r="G124" s="8">
        <f>Resultados_Simulacion!F124</f>
        <v>59.294909371655372</v>
      </c>
      <c r="H124" s="10">
        <f>(G124-Resultados_Simulacion!F116)/Resultados_Simulacion!F116</f>
        <v>-5.6457451935436453E-3</v>
      </c>
      <c r="I124" s="8">
        <f>Resultados_Simulacion!H124</f>
        <v>1.8509109999999999E-2</v>
      </c>
      <c r="J124" s="10">
        <f>(I124-Resultados_Simulacion!H116)/Resultados_Simulacion!H116</f>
        <v>5.1410241262252701E-2</v>
      </c>
      <c r="K124" s="8">
        <f>Resultados_Simulacion!I124</f>
        <v>1.3624168583096591E-2</v>
      </c>
      <c r="L124" s="10">
        <f>(K124-Resultados_Simulacion!I116)/Resultados_Simulacion!I116</f>
        <v>-6.7122199743615954E-2</v>
      </c>
    </row>
    <row r="125" spans="1:12" x14ac:dyDescent="0.3">
      <c r="A125" s="4">
        <v>126000</v>
      </c>
      <c r="B125" s="4" t="s">
        <v>31</v>
      </c>
      <c r="C125" s="8">
        <f>Resultados_Simulacion!C125</f>
        <v>1.3695759999999999</v>
      </c>
      <c r="D125" s="10">
        <f>(C125-Resultados_Simulacion!C116)/Resultados_Simulacion!C116</f>
        <v>0</v>
      </c>
      <c r="E125" s="8">
        <f>Resultados_Simulacion!E125</f>
        <v>3.8824659999999997E-2</v>
      </c>
      <c r="F125" s="10">
        <f>(E125-Resultados_Simulacion!E116)/Resultados_Simulacion!E116</f>
        <v>0</v>
      </c>
      <c r="G125" s="8">
        <f>Resultados_Simulacion!F125</f>
        <v>59.817190122613063</v>
      </c>
      <c r="H125" s="10">
        <f>(G125-Resultados_Simulacion!F116)/Resultados_Simulacion!F116</f>
        <v>3.1127147218457615E-3</v>
      </c>
      <c r="I125" s="8">
        <f>Resultados_Simulacion!H125</f>
        <v>1.7617210000000001E-2</v>
      </c>
      <c r="J125" s="10">
        <f>(I125-Resultados_Simulacion!H116)/Resultados_Simulacion!H116</f>
        <v>7.4584982572222381E-4</v>
      </c>
      <c r="K125" s="8">
        <f>Resultados_Simulacion!I125</f>
        <v>1.3412670760866951E-2</v>
      </c>
      <c r="L125" s="10">
        <f>(K125-Resultados_Simulacion!I116)/Resultados_Simulacion!I116</f>
        <v>-8.1603936515824801E-2</v>
      </c>
    </row>
    <row r="126" spans="1:12" x14ac:dyDescent="0.3">
      <c r="A126" s="4">
        <v>126000</v>
      </c>
      <c r="B126" s="4" t="s">
        <v>33</v>
      </c>
      <c r="C126" s="8">
        <f>Resultados_Simulacion!C126</f>
        <v>1.3695759999999999</v>
      </c>
      <c r="D126" s="10">
        <f>(C126-Resultados_Simulacion!C116)/Resultados_Simulacion!C116</f>
        <v>0</v>
      </c>
      <c r="E126" s="8">
        <f>Resultados_Simulacion!E126</f>
        <v>3.8824659999999997E-2</v>
      </c>
      <c r="F126" s="10">
        <f>(E126-Resultados_Simulacion!E116)/Resultados_Simulacion!E116</f>
        <v>0</v>
      </c>
      <c r="G126" s="8">
        <f>Resultados_Simulacion!F126</f>
        <v>60.287444327922472</v>
      </c>
      <c r="H126" s="10">
        <f>(G126-Resultados_Simulacion!F116)/Resultados_Simulacion!F116</f>
        <v>1.0998708221880782E-2</v>
      </c>
      <c r="I126" s="8">
        <f>Resultados_Simulacion!H126</f>
        <v>1.6410830000000001E-2</v>
      </c>
      <c r="J126" s="10">
        <f>(I126-Resultados_Simulacion!H116)/Resultados_Simulacion!H116</f>
        <v>-6.7782582219576365E-2</v>
      </c>
      <c r="K126" s="8">
        <f>Resultados_Simulacion!I126</f>
        <v>1.3049888825216269E-2</v>
      </c>
      <c r="L126" s="10">
        <f>(K126-Resultados_Simulacion!I116)/Resultados_Simulacion!I116</f>
        <v>-0.10644444050976759</v>
      </c>
    </row>
    <row r="127" spans="1:12" x14ac:dyDescent="0.3">
      <c r="A127" s="4">
        <v>126000</v>
      </c>
      <c r="B127" s="4" t="s">
        <v>35</v>
      </c>
      <c r="C127" s="8">
        <f>Resultados_Simulacion!C127</f>
        <v>1.3695759999999999</v>
      </c>
      <c r="D127" s="10">
        <f>(C127-Resultados_Simulacion!C116)/Resultados_Simulacion!C116</f>
        <v>0</v>
      </c>
      <c r="E127" s="8">
        <f>Resultados_Simulacion!E127</f>
        <v>3.8824659999999997E-2</v>
      </c>
      <c r="F127" s="10">
        <f>(E127-Resultados_Simulacion!E116)/Resultados_Simulacion!E116</f>
        <v>0</v>
      </c>
      <c r="G127" s="8">
        <f>Resultados_Simulacion!F127</f>
        <v>60.322061492158113</v>
      </c>
      <c r="H127" s="10">
        <f>(G127-Resultados_Simulacion!F116)/Resultados_Simulacion!F116</f>
        <v>1.1579225586892526E-2</v>
      </c>
      <c r="I127" s="8">
        <f>Resultados_Simulacion!H127</f>
        <v>1.607457E-2</v>
      </c>
      <c r="J127" s="10">
        <f>(I127-Resultados_Simulacion!H116)/Resultados_Simulacion!H116</f>
        <v>-8.6883836019831837E-2</v>
      </c>
      <c r="K127" s="8">
        <f>Resultados_Simulacion!I127</f>
        <v>1.288633011686144E-2</v>
      </c>
      <c r="L127" s="10">
        <f>(K127-Resultados_Simulacion!I116)/Resultados_Simulacion!I116</f>
        <v>-0.11764367715545426</v>
      </c>
    </row>
    <row r="128" spans="1:12" x14ac:dyDescent="0.3">
      <c r="A128" s="4">
        <v>126000</v>
      </c>
      <c r="B128" s="4" t="s">
        <v>37</v>
      </c>
      <c r="C128" s="8">
        <f>Resultados_Simulacion!C128</f>
        <v>1.3695759999999999</v>
      </c>
      <c r="D128" s="10">
        <f>(C128-Resultados_Simulacion!C116)/Resultados_Simulacion!C116</f>
        <v>0</v>
      </c>
      <c r="E128" s="8">
        <f>Resultados_Simulacion!E128</f>
        <v>3.8824659999999997E-2</v>
      </c>
      <c r="F128" s="10">
        <f>(E128-Resultados_Simulacion!E116)/Resultados_Simulacion!E116</f>
        <v>0</v>
      </c>
      <c r="G128" s="8">
        <f>Resultados_Simulacion!F128</f>
        <v>60.22856932603451</v>
      </c>
      <c r="H128" s="10">
        <f>(G128-Resultados_Simulacion!F116)/Resultados_Simulacion!F116</f>
        <v>1.001139566420246E-2</v>
      </c>
      <c r="I128" s="8">
        <f>Resultados_Simulacion!H128</f>
        <v>1.5763269999999999E-2</v>
      </c>
      <c r="J128" s="10">
        <f>(I128-Resultados_Simulacion!H116)/Resultados_Simulacion!H116</f>
        <v>-0.10456723668604105</v>
      </c>
      <c r="K128" s="8">
        <f>Resultados_Simulacion!I128</f>
        <v>1.2732305388647121E-2</v>
      </c>
      <c r="L128" s="10">
        <f>(K128-Resultados_Simulacion!I116)/Resultados_Simulacion!I116</f>
        <v>-0.12819010050343987</v>
      </c>
    </row>
    <row r="129" spans="1:12" x14ac:dyDescent="0.3">
      <c r="A129" s="4">
        <v>126000</v>
      </c>
      <c r="B129" s="4" t="s">
        <v>39</v>
      </c>
      <c r="C129" s="8">
        <f>Resultados_Simulacion!C129</f>
        <v>1.3695759999999999</v>
      </c>
      <c r="D129" s="10">
        <f>(C129-Resultados_Simulacion!C116)/Resultados_Simulacion!C116</f>
        <v>0</v>
      </c>
      <c r="E129" s="8">
        <f>Resultados_Simulacion!E129</f>
        <v>3.8824659999999997E-2</v>
      </c>
      <c r="F129" s="10">
        <f>(E129-Resultados_Simulacion!E116)/Resultados_Simulacion!E116</f>
        <v>0</v>
      </c>
      <c r="G129" s="8">
        <f>Resultados_Simulacion!F129</f>
        <v>59.63157404419885</v>
      </c>
      <c r="H129" s="10">
        <f>(G129-Resultados_Simulacion!F116)/Resultados_Simulacion!F116</f>
        <v>0</v>
      </c>
      <c r="I129" s="8">
        <f>Resultados_Simulacion!H129</f>
        <v>1.7604080000000001E-2</v>
      </c>
      <c r="J129" s="10">
        <f>(I129-Resultados_Simulacion!H116)/Resultados_Simulacion!H116</f>
        <v>0</v>
      </c>
      <c r="K129" s="8">
        <f>Resultados_Simulacion!I129</f>
        <v>1.2457346516598199E-2</v>
      </c>
      <c r="L129" s="10">
        <f>(K129-Resultados_Simulacion!I116)/Resultados_Simulacion!I116</f>
        <v>-0.14701715964862808</v>
      </c>
    </row>
    <row r="130" spans="1:12" x14ac:dyDescent="0.3">
      <c r="A130" s="4">
        <v>126000</v>
      </c>
      <c r="B130" s="4" t="s">
        <v>41</v>
      </c>
      <c r="C130" s="8">
        <f>Resultados_Simulacion!C130</f>
        <v>1.3695759999999999</v>
      </c>
      <c r="D130" s="10">
        <f>(C130-Resultados_Simulacion!C116)/Resultados_Simulacion!C116</f>
        <v>0</v>
      </c>
      <c r="E130" s="8">
        <f>Resultados_Simulacion!E130</f>
        <v>3.8824659999999997E-2</v>
      </c>
      <c r="F130" s="10">
        <f>(E130-Resultados_Simulacion!E116)/Resultados_Simulacion!E116</f>
        <v>0</v>
      </c>
      <c r="G130" s="8">
        <f>Resultados_Simulacion!F130</f>
        <v>59.63157404419885</v>
      </c>
      <c r="H130" s="10">
        <f>(G130-Resultados_Simulacion!F116)/Resultados_Simulacion!F116</f>
        <v>0</v>
      </c>
      <c r="I130" s="8">
        <f>Resultados_Simulacion!H130</f>
        <v>1.7604080000000001E-2</v>
      </c>
      <c r="J130" s="10">
        <f>(I130-Resultados_Simulacion!H116)/Resultados_Simulacion!H116</f>
        <v>0</v>
      </c>
      <c r="K130" s="8">
        <f>Resultados_Simulacion!I130</f>
        <v>1.2344115576685249E-2</v>
      </c>
      <c r="L130" s="10">
        <f>(K130-Resultados_Simulacion!I116)/Resultados_Simulacion!I116</f>
        <v>-0.15477033955848407</v>
      </c>
    </row>
    <row r="131" spans="1:12" x14ac:dyDescent="0.3">
      <c r="A131" s="4">
        <v>126000</v>
      </c>
      <c r="B131" s="4" t="s">
        <v>43</v>
      </c>
      <c r="C131" s="8">
        <f>Resultados_Simulacion!C131</f>
        <v>1.3695759999999999</v>
      </c>
      <c r="D131" s="10">
        <f>(C131-Resultados_Simulacion!C116)/Resultados_Simulacion!C116</f>
        <v>0</v>
      </c>
      <c r="E131" s="8">
        <f>Resultados_Simulacion!E131</f>
        <v>3.8824659999999997E-2</v>
      </c>
      <c r="F131" s="10">
        <f>(E131-Resultados_Simulacion!E116)/Resultados_Simulacion!E116</f>
        <v>0</v>
      </c>
      <c r="G131" s="8">
        <f>Resultados_Simulacion!F131</f>
        <v>59.63157404419885</v>
      </c>
      <c r="H131" s="10">
        <f>(G131-Resultados_Simulacion!F116)/Resultados_Simulacion!F116</f>
        <v>0</v>
      </c>
      <c r="I131" s="8">
        <f>Resultados_Simulacion!H131</f>
        <v>1.7604080000000001E-2</v>
      </c>
      <c r="J131" s="10">
        <f>(I131-Resultados_Simulacion!H116)/Resultados_Simulacion!H116</f>
        <v>0</v>
      </c>
      <c r="K131" s="8">
        <f>Resultados_Simulacion!I131</f>
        <v>1.2254551483930639E-2</v>
      </c>
      <c r="L131" s="10">
        <f>(K131-Resultados_Simulacion!I116)/Resultados_Simulacion!I116</f>
        <v>-0.160902996631925</v>
      </c>
    </row>
    <row r="132" spans="1:12" x14ac:dyDescent="0.3">
      <c r="A132" s="4">
        <v>126000</v>
      </c>
      <c r="B132" s="4" t="s">
        <v>45</v>
      </c>
      <c r="C132" s="8">
        <f>Resultados_Simulacion!C132</f>
        <v>1.3695759999999999</v>
      </c>
      <c r="D132" s="10">
        <f>(C132-Resultados_Simulacion!C116)/Resultados_Simulacion!C116</f>
        <v>0</v>
      </c>
      <c r="E132" s="8">
        <f>Resultados_Simulacion!E132</f>
        <v>3.8824659999999997E-2</v>
      </c>
      <c r="F132" s="10">
        <f>(E132-Resultados_Simulacion!E116)/Resultados_Simulacion!E116</f>
        <v>0</v>
      </c>
      <c r="G132" s="8">
        <f>Resultados_Simulacion!F132</f>
        <v>59.63157404419885</v>
      </c>
      <c r="H132" s="10">
        <f>(G132-Resultados_Simulacion!F116)/Resultados_Simulacion!F116</f>
        <v>0</v>
      </c>
      <c r="I132" s="8">
        <f>Resultados_Simulacion!H132</f>
        <v>1.7604080000000001E-2</v>
      </c>
      <c r="J132" s="10">
        <f>(I132-Resultados_Simulacion!H116)/Resultados_Simulacion!H116</f>
        <v>0</v>
      </c>
      <c r="K132" s="8">
        <f>Resultados_Simulacion!I132</f>
        <v>1.215065261603244E-2</v>
      </c>
      <c r="L132" s="10">
        <f>(K132-Resultados_Simulacion!I116)/Resultados_Simulacion!I116</f>
        <v>-0.16801718835253063</v>
      </c>
    </row>
    <row r="133" spans="1:12" x14ac:dyDescent="0.3">
      <c r="A133" s="4">
        <v>126000</v>
      </c>
      <c r="B133" s="4" t="s">
        <v>47</v>
      </c>
      <c r="C133" s="8">
        <f>Resultados_Simulacion!C133</f>
        <v>1.3695759999999999</v>
      </c>
      <c r="D133" s="10">
        <f>(C133-Resultados_Simulacion!C116)/Resultados_Simulacion!C116</f>
        <v>0</v>
      </c>
      <c r="E133" s="8">
        <f>Resultados_Simulacion!E133</f>
        <v>3.8824659999999997E-2</v>
      </c>
      <c r="F133" s="10">
        <f>(E133-Resultados_Simulacion!E116)/Resultados_Simulacion!E116</f>
        <v>0</v>
      </c>
      <c r="G133" s="8">
        <f>Resultados_Simulacion!F133</f>
        <v>59.63157404419885</v>
      </c>
      <c r="H133" s="10">
        <f>(G133-Resultados_Simulacion!F116)/Resultados_Simulacion!F116</f>
        <v>0</v>
      </c>
      <c r="I133" s="8">
        <f>Resultados_Simulacion!H133</f>
        <v>1.7604080000000001E-2</v>
      </c>
      <c r="J133" s="10">
        <f>(I133-Resultados_Simulacion!H116)/Resultados_Simulacion!H116</f>
        <v>0</v>
      </c>
      <c r="K133" s="8">
        <f>Resultados_Simulacion!I133</f>
        <v>1.214696247905997E-2</v>
      </c>
      <c r="L133" s="10">
        <f>(K133-Resultados_Simulacion!I116)/Resultados_Simulacion!I116</f>
        <v>-0.16826986042132711</v>
      </c>
    </row>
    <row r="134" spans="1:12" x14ac:dyDescent="0.3">
      <c r="A134" s="4">
        <v>126000</v>
      </c>
      <c r="B134" s="4" t="s">
        <v>49</v>
      </c>
      <c r="C134" s="8">
        <f>Resultados_Simulacion!C134</f>
        <v>1.3695759999999999</v>
      </c>
      <c r="D134" s="10">
        <f>(C134-Resultados_Simulacion!C116)/Resultados_Simulacion!C116</f>
        <v>0</v>
      </c>
      <c r="E134" s="8">
        <f>Resultados_Simulacion!E134</f>
        <v>3.8824659999999997E-2</v>
      </c>
      <c r="F134" s="10">
        <f>(E134-Resultados_Simulacion!E116)/Resultados_Simulacion!E116</f>
        <v>0</v>
      </c>
      <c r="G134" s="8">
        <f>Resultados_Simulacion!F134</f>
        <v>59.63157404419885</v>
      </c>
      <c r="H134" s="10">
        <f>(G134-Resultados_Simulacion!F116)/Resultados_Simulacion!F116</f>
        <v>0</v>
      </c>
      <c r="I134" s="8">
        <f>Resultados_Simulacion!H134</f>
        <v>1.7604080000000001E-2</v>
      </c>
      <c r="J134" s="10">
        <f>(I134-Resultados_Simulacion!H116)/Resultados_Simulacion!H116</f>
        <v>0</v>
      </c>
      <c r="K134" s="8">
        <f>Resultados_Simulacion!I134</f>
        <v>1.2193368022737461E-2</v>
      </c>
      <c r="L134" s="10">
        <f>(K134-Resultados_Simulacion!I116)/Resultados_Simulacion!I116</f>
        <v>-0.16509236733310517</v>
      </c>
    </row>
    <row r="135" spans="1:12" x14ac:dyDescent="0.3">
      <c r="A135" s="12">
        <v>132000</v>
      </c>
      <c r="B135" s="12" t="s">
        <v>13</v>
      </c>
      <c r="C135" s="13">
        <f>Resultados_Simulacion!C135</f>
        <v>1.3711409999999999</v>
      </c>
      <c r="D135" s="14">
        <f>(C135-Resultados_Simulacion!C135)/Resultados_Simulacion!C135</f>
        <v>0</v>
      </c>
      <c r="E135" s="13">
        <f>Resultados_Simulacion!E135</f>
        <v>3.8403800000000002E-2</v>
      </c>
      <c r="F135" s="14">
        <f>(E135-Resultados_Simulacion!E135)/Resultados_Simulacion!E135</f>
        <v>0</v>
      </c>
      <c r="G135" s="13">
        <f>Resultados_Simulacion!F135</f>
        <v>61.049406357717338</v>
      </c>
      <c r="H135" s="14">
        <f>(G135-Resultados_Simulacion!F135)/Resultados_Simulacion!F135</f>
        <v>0</v>
      </c>
      <c r="I135" s="13">
        <f>Resultados_Simulacion!H135</f>
        <v>1.6814840000000001E-2</v>
      </c>
      <c r="J135" s="14">
        <f>(I135-Resultados_Simulacion!H135)/Resultados_Simulacion!H135</f>
        <v>0</v>
      </c>
      <c r="K135" s="13">
        <f>Resultados_Simulacion!I135</f>
        <v>1.3948651783344529E-2</v>
      </c>
      <c r="L135" s="14">
        <f>(K135-Resultados_Simulacion!I135)/Resultados_Simulacion!I135</f>
        <v>0</v>
      </c>
    </row>
    <row r="136" spans="1:12" x14ac:dyDescent="0.3">
      <c r="A136" s="4">
        <v>132000</v>
      </c>
      <c r="B136" s="4" t="s">
        <v>15</v>
      </c>
      <c r="C136" s="8">
        <f>Resultados_Simulacion!C136</f>
        <v>1.3627530000000001</v>
      </c>
      <c r="D136" s="10">
        <f>(C136-Resultados_Simulacion!C135)/Resultados_Simulacion!C135</f>
        <v>-6.117532770152625E-3</v>
      </c>
      <c r="E136" s="8">
        <f>Resultados_Simulacion!E136</f>
        <v>4.6361699999999999E-2</v>
      </c>
      <c r="F136" s="10">
        <f>(E136-Resultados_Simulacion!E135)/Resultados_Simulacion!E135</f>
        <v>0.20721647336982268</v>
      </c>
      <c r="G136" s="8">
        <f>Resultados_Simulacion!F136</f>
        <v>46.056844123270317</v>
      </c>
      <c r="H136" s="10">
        <f>(G136-Resultados_Simulacion!F135)/Resultados_Simulacion!F135</f>
        <v>-0.24558080297453688</v>
      </c>
      <c r="I136" s="8">
        <f>Resultados_Simulacion!H136</f>
        <v>2.307644E-2</v>
      </c>
      <c r="J136" s="10">
        <f>(I136-Resultados_Simulacion!H135)/Resultados_Simulacion!H135</f>
        <v>0.37238534532591444</v>
      </c>
      <c r="K136" s="8">
        <f>Resultados_Simulacion!I136</f>
        <v>1.6090482565275989E-2</v>
      </c>
      <c r="L136" s="10">
        <f>(K136-Resultados_Simulacion!I135)/Resultados_Simulacion!I135</f>
        <v>0.15355109692313959</v>
      </c>
    </row>
    <row r="137" spans="1:12" x14ac:dyDescent="0.3">
      <c r="A137" s="4">
        <v>132000</v>
      </c>
      <c r="B137" s="4" t="s">
        <v>17</v>
      </c>
      <c r="C137" s="8">
        <f>Resultados_Simulacion!C137</f>
        <v>1.371119</v>
      </c>
      <c r="D137" s="10">
        <f>(C137-Resultados_Simulacion!C135)/Resultados_Simulacion!C135</f>
        <v>-1.6045031109102924E-5</v>
      </c>
      <c r="E137" s="8">
        <f>Resultados_Simulacion!E137</f>
        <v>4.0628119999999997E-2</v>
      </c>
      <c r="F137" s="10">
        <f>(E137-Resultados_Simulacion!E135)/Resultados_Simulacion!E135</f>
        <v>5.7919268405730549E-2</v>
      </c>
      <c r="G137" s="8">
        <f>Resultados_Simulacion!F137</f>
        <v>49.091763834442922</v>
      </c>
      <c r="H137" s="10">
        <f>(G137-Resultados_Simulacion!F135)/Resultados_Simulacion!F135</f>
        <v>-0.19586828499541722</v>
      </c>
      <c r="I137" s="8">
        <f>Resultados_Simulacion!H137</f>
        <v>2.2356520000000001E-2</v>
      </c>
      <c r="J137" s="10">
        <f>(I137-Resultados_Simulacion!H135)/Resultados_Simulacion!H135</f>
        <v>0.3295707839027906</v>
      </c>
      <c r="K137" s="8">
        <f>Resultados_Simulacion!I137</f>
        <v>1.5721640287504689E-2</v>
      </c>
      <c r="L137" s="10">
        <f>(K137-Resultados_Simulacion!I135)/Resultados_Simulacion!I135</f>
        <v>0.1271082346666082</v>
      </c>
    </row>
    <row r="138" spans="1:12" x14ac:dyDescent="0.3">
      <c r="A138" s="4">
        <v>132000</v>
      </c>
      <c r="B138" s="4" t="s">
        <v>19</v>
      </c>
      <c r="C138" s="8">
        <f>Resultados_Simulacion!C138</f>
        <v>1.3711409999999999</v>
      </c>
      <c r="D138" s="10">
        <f>(C138-Resultados_Simulacion!C135)/Resultados_Simulacion!C135</f>
        <v>0</v>
      </c>
      <c r="E138" s="8">
        <f>Resultados_Simulacion!E138</f>
        <v>3.8403800000000002E-2</v>
      </c>
      <c r="F138" s="10">
        <f>(E138-Resultados_Simulacion!E135)/Resultados_Simulacion!E135</f>
        <v>0</v>
      </c>
      <c r="G138" s="8">
        <f>Resultados_Simulacion!F138</f>
        <v>52.259584859134129</v>
      </c>
      <c r="H138" s="10">
        <f>(G138-Resultados_Simulacion!F135)/Resultados_Simulacion!F135</f>
        <v>-0.14397882015558822</v>
      </c>
      <c r="I138" s="8">
        <f>Resultados_Simulacion!H138</f>
        <v>2.1671679999999999E-2</v>
      </c>
      <c r="J138" s="10">
        <f>(I138-Resultados_Simulacion!H135)/Resultados_Simulacion!H135</f>
        <v>0.28884247486149123</v>
      </c>
      <c r="K138" s="8">
        <f>Resultados_Simulacion!I138</f>
        <v>1.5302684184441419E-2</v>
      </c>
      <c r="L138" s="10">
        <f>(K138-Resultados_Simulacion!I135)/Resultados_Simulacion!I135</f>
        <v>9.7072636275405508E-2</v>
      </c>
    </row>
    <row r="139" spans="1:12" x14ac:dyDescent="0.3">
      <c r="A139" s="4">
        <v>132000</v>
      </c>
      <c r="B139" s="4" t="s">
        <v>21</v>
      </c>
      <c r="C139" s="8">
        <f>Resultados_Simulacion!C139</f>
        <v>1.3711409999999999</v>
      </c>
      <c r="D139" s="10">
        <f>(C139-Resultados_Simulacion!C135)/Resultados_Simulacion!C135</f>
        <v>0</v>
      </c>
      <c r="E139" s="8">
        <f>Resultados_Simulacion!E139</f>
        <v>3.8403800000000002E-2</v>
      </c>
      <c r="F139" s="10">
        <f>(E139-Resultados_Simulacion!E135)/Resultados_Simulacion!E135</f>
        <v>0</v>
      </c>
      <c r="G139" s="8">
        <f>Resultados_Simulacion!F139</f>
        <v>55.003567412791597</v>
      </c>
      <c r="H139" s="10">
        <f>(G139-Resultados_Simulacion!F135)/Resultados_Simulacion!F135</f>
        <v>-9.9031903922215267E-2</v>
      </c>
      <c r="I139" s="8">
        <f>Resultados_Simulacion!H139</f>
        <v>2.121986E-2</v>
      </c>
      <c r="J139" s="10">
        <f>(I139-Resultados_Simulacion!H135)/Resultados_Simulacion!H135</f>
        <v>0.26197216268486639</v>
      </c>
      <c r="K139" s="8">
        <f>Resultados_Simulacion!I139</f>
        <v>1.4882658929655439E-2</v>
      </c>
      <c r="L139" s="10">
        <f>(K139-Resultados_Simulacion!I135)/Resultados_Simulacion!I135</f>
        <v>6.6960388775793148E-2</v>
      </c>
    </row>
    <row r="140" spans="1:12" x14ac:dyDescent="0.3">
      <c r="A140" s="4">
        <v>132000</v>
      </c>
      <c r="B140" s="4" t="s">
        <v>23</v>
      </c>
      <c r="C140" s="8">
        <f>Resultados_Simulacion!C140</f>
        <v>1.3711409999999999</v>
      </c>
      <c r="D140" s="10">
        <f>(C140-Resultados_Simulacion!C135)/Resultados_Simulacion!C135</f>
        <v>0</v>
      </c>
      <c r="E140" s="8">
        <f>Resultados_Simulacion!E140</f>
        <v>3.8403800000000002E-2</v>
      </c>
      <c r="F140" s="10">
        <f>(E140-Resultados_Simulacion!E135)/Resultados_Simulacion!E135</f>
        <v>0</v>
      </c>
      <c r="G140" s="8">
        <f>Resultados_Simulacion!F140</f>
        <v>56.764899427599147</v>
      </c>
      <c r="H140" s="10">
        <f>(G140-Resultados_Simulacion!F135)/Resultados_Simulacion!F135</f>
        <v>-7.0180976126340014E-2</v>
      </c>
      <c r="I140" s="8">
        <f>Resultados_Simulacion!H140</f>
        <v>2.0758180000000001E-2</v>
      </c>
      <c r="J140" s="10">
        <f>(I140-Resultados_Simulacion!H135)/Resultados_Simulacion!H135</f>
        <v>0.23451546372133186</v>
      </c>
      <c r="K140" s="8">
        <f>Resultados_Simulacion!I140</f>
        <v>1.4503862095313709E-2</v>
      </c>
      <c r="L140" s="10">
        <f>(K140-Resultados_Simulacion!I135)/Resultados_Simulacion!I135</f>
        <v>3.9803869262270371E-2</v>
      </c>
    </row>
    <row r="141" spans="1:12" x14ac:dyDescent="0.3">
      <c r="A141" s="4">
        <v>132000</v>
      </c>
      <c r="B141" s="4" t="s">
        <v>25</v>
      </c>
      <c r="C141" s="8">
        <f>Resultados_Simulacion!C141</f>
        <v>1.3711409999999999</v>
      </c>
      <c r="D141" s="10">
        <f>(C141-Resultados_Simulacion!C135)/Resultados_Simulacion!C135</f>
        <v>0</v>
      </c>
      <c r="E141" s="8">
        <f>Resultados_Simulacion!E141</f>
        <v>3.8403800000000002E-2</v>
      </c>
      <c r="F141" s="10">
        <f>(E141-Resultados_Simulacion!E135)/Resultados_Simulacion!E135</f>
        <v>0</v>
      </c>
      <c r="G141" s="8">
        <f>Resultados_Simulacion!F141</f>
        <v>58.252519452552093</v>
      </c>
      <c r="H141" s="10">
        <f>(G141-Resultados_Simulacion!F135)/Resultados_Simulacion!F135</f>
        <v>-4.5813498804181028E-2</v>
      </c>
      <c r="I141" s="8">
        <f>Resultados_Simulacion!H141</f>
        <v>2.009762E-2</v>
      </c>
      <c r="J141" s="10">
        <f>(I141-Resultados_Simulacion!H135)/Resultados_Simulacion!H135</f>
        <v>0.19523111727497847</v>
      </c>
      <c r="K141" s="8">
        <f>Resultados_Simulacion!I141</f>
        <v>1.407261663559544E-2</v>
      </c>
      <c r="L141" s="10">
        <f>(K141-Resultados_Simulacion!I135)/Resultados_Simulacion!I135</f>
        <v>8.8872282552018497E-3</v>
      </c>
    </row>
    <row r="142" spans="1:12" x14ac:dyDescent="0.3">
      <c r="A142" s="4">
        <v>132000</v>
      </c>
      <c r="B142" s="4" t="s">
        <v>27</v>
      </c>
      <c r="C142" s="8">
        <f>Resultados_Simulacion!C142</f>
        <v>1.3711409999999999</v>
      </c>
      <c r="D142" s="10">
        <f>(C142-Resultados_Simulacion!C135)/Resultados_Simulacion!C135</f>
        <v>0</v>
      </c>
      <c r="E142" s="8">
        <f>Resultados_Simulacion!E142</f>
        <v>3.8403800000000002E-2</v>
      </c>
      <c r="F142" s="10">
        <f>(E142-Resultados_Simulacion!E135)/Resultados_Simulacion!E135</f>
        <v>0</v>
      </c>
      <c r="G142" s="8">
        <f>Resultados_Simulacion!F142</f>
        <v>59.904833888755277</v>
      </c>
      <c r="H142" s="10">
        <f>(G142-Resultados_Simulacion!F135)/Resultados_Simulacion!F135</f>
        <v>-1.8748298095733629E-2</v>
      </c>
      <c r="I142" s="8">
        <f>Resultados_Simulacion!H142</f>
        <v>1.8628479999999999E-2</v>
      </c>
      <c r="J142" s="10">
        <f>(I142-Resultados_Simulacion!H135)/Resultados_Simulacion!H135</f>
        <v>0.10785948602543932</v>
      </c>
      <c r="K142" s="8">
        <f>Resultados_Simulacion!I142</f>
        <v>1.357282046960385E-2</v>
      </c>
      <c r="L142" s="10">
        <f>(K142-Resultados_Simulacion!I135)/Resultados_Simulacion!I135</f>
        <v>-2.6943916844310571E-2</v>
      </c>
    </row>
    <row r="143" spans="1:12" x14ac:dyDescent="0.3">
      <c r="A143" s="4">
        <v>132000</v>
      </c>
      <c r="B143" s="4" t="s">
        <v>29</v>
      </c>
      <c r="C143" s="8">
        <f>Resultados_Simulacion!C143</f>
        <v>1.3711409999999999</v>
      </c>
      <c r="D143" s="10">
        <f>(C143-Resultados_Simulacion!C135)/Resultados_Simulacion!C135</f>
        <v>0</v>
      </c>
      <c r="E143" s="8">
        <f>Resultados_Simulacion!E143</f>
        <v>3.8403800000000002E-2</v>
      </c>
      <c r="F143" s="10">
        <f>(E143-Resultados_Simulacion!E135)/Resultados_Simulacion!E135</f>
        <v>0</v>
      </c>
      <c r="G143" s="8">
        <f>Resultados_Simulacion!F143</f>
        <v>60.55298494074799</v>
      </c>
      <c r="H143" s="10">
        <f>(G143-Resultados_Simulacion!F135)/Resultados_Simulacion!F135</f>
        <v>-8.131470010708703E-3</v>
      </c>
      <c r="I143" s="8">
        <f>Resultados_Simulacion!H143</f>
        <v>1.7725979999999999E-2</v>
      </c>
      <c r="J143" s="10">
        <f>(I143-Resultados_Simulacion!H135)/Resultados_Simulacion!H135</f>
        <v>5.4186658927471078E-2</v>
      </c>
      <c r="K143" s="8">
        <f>Resultados_Simulacion!I143</f>
        <v>1.3340960469872321E-2</v>
      </c>
      <c r="L143" s="10">
        <f>(K143-Resultados_Simulacion!I135)/Resultados_Simulacion!I135</f>
        <v>-4.3566311849423771E-2</v>
      </c>
    </row>
    <row r="144" spans="1:12" x14ac:dyDescent="0.3">
      <c r="A144" s="4">
        <v>132000</v>
      </c>
      <c r="B144" s="4" t="s">
        <v>31</v>
      </c>
      <c r="C144" s="8">
        <f>Resultados_Simulacion!C144</f>
        <v>1.3711409999999999</v>
      </c>
      <c r="D144" s="10">
        <f>(C144-Resultados_Simulacion!C135)/Resultados_Simulacion!C135</f>
        <v>0</v>
      </c>
      <c r="E144" s="8">
        <f>Resultados_Simulacion!E144</f>
        <v>3.8403800000000002E-2</v>
      </c>
      <c r="F144" s="10">
        <f>(E144-Resultados_Simulacion!E135)/Resultados_Simulacion!E135</f>
        <v>0</v>
      </c>
      <c r="G144" s="8">
        <f>Resultados_Simulacion!F144</f>
        <v>61.093834778876449</v>
      </c>
      <c r="H144" s="10">
        <f>(G144-Resultados_Simulacion!F135)/Resultados_Simulacion!F135</f>
        <v>7.2774534282584054E-4</v>
      </c>
      <c r="I144" s="8">
        <f>Resultados_Simulacion!H144</f>
        <v>1.728762E-2</v>
      </c>
      <c r="J144" s="10">
        <f>(I144-Resultados_Simulacion!H135)/Resultados_Simulacion!H135</f>
        <v>2.811683013338212E-2</v>
      </c>
      <c r="K144" s="8">
        <f>Resultados_Simulacion!I144</f>
        <v>1.3130159540050231E-2</v>
      </c>
      <c r="L144" s="10">
        <f>(K144-Resultados_Simulacion!I135)/Resultados_Simulacion!I135</f>
        <v>-5.8678950195862223E-2</v>
      </c>
    </row>
    <row r="145" spans="1:12" x14ac:dyDescent="0.3">
      <c r="A145" s="4">
        <v>132000</v>
      </c>
      <c r="B145" s="4" t="s">
        <v>33</v>
      </c>
      <c r="C145" s="8">
        <f>Resultados_Simulacion!C145</f>
        <v>1.3711409999999999</v>
      </c>
      <c r="D145" s="10">
        <f>(C145-Resultados_Simulacion!C135)/Resultados_Simulacion!C135</f>
        <v>0</v>
      </c>
      <c r="E145" s="8">
        <f>Resultados_Simulacion!E145</f>
        <v>3.8403800000000002E-2</v>
      </c>
      <c r="F145" s="10">
        <f>(E145-Resultados_Simulacion!E135)/Resultados_Simulacion!E135</f>
        <v>0</v>
      </c>
      <c r="G145" s="8">
        <f>Resultados_Simulacion!F145</f>
        <v>61.607589510372208</v>
      </c>
      <c r="H145" s="10">
        <f>(G145-Resultados_Simulacion!F135)/Resultados_Simulacion!F135</f>
        <v>9.1431380902250014E-3</v>
      </c>
      <c r="I145" s="8">
        <f>Resultados_Simulacion!H145</f>
        <v>1.60959E-2</v>
      </c>
      <c r="J145" s="10">
        <f>(I145-Resultados_Simulacion!H135)/Resultados_Simulacion!H135</f>
        <v>-4.275627957209234E-2</v>
      </c>
      <c r="K145" s="8">
        <f>Resultados_Simulacion!I145</f>
        <v>1.2767278107736179E-2</v>
      </c>
      <c r="L145" s="10">
        <f>(K145-Resultados_Simulacion!I135)/Resultados_Simulacion!I135</f>
        <v>-8.4694470401718416E-2</v>
      </c>
    </row>
    <row r="146" spans="1:12" x14ac:dyDescent="0.3">
      <c r="A146" s="4">
        <v>132000</v>
      </c>
      <c r="B146" s="4" t="s">
        <v>35</v>
      </c>
      <c r="C146" s="8">
        <f>Resultados_Simulacion!C146</f>
        <v>1.3711409999999999</v>
      </c>
      <c r="D146" s="10">
        <f>(C146-Resultados_Simulacion!C135)/Resultados_Simulacion!C135</f>
        <v>0</v>
      </c>
      <c r="E146" s="8">
        <f>Resultados_Simulacion!E146</f>
        <v>3.8403800000000002E-2</v>
      </c>
      <c r="F146" s="10">
        <f>(E146-Resultados_Simulacion!E135)/Resultados_Simulacion!E135</f>
        <v>0</v>
      </c>
      <c r="G146" s="8">
        <f>Resultados_Simulacion!F146</f>
        <v>61.642523628254708</v>
      </c>
      <c r="H146" s="10">
        <f>(G146-Resultados_Simulacion!F135)/Resultados_Simulacion!F135</f>
        <v>9.7153650776227903E-3</v>
      </c>
      <c r="I146" s="8">
        <f>Resultados_Simulacion!H146</f>
        <v>1.5767139999999999E-2</v>
      </c>
      <c r="J146" s="10">
        <f>(I146-Resultados_Simulacion!H135)/Resultados_Simulacion!H135</f>
        <v>-6.230805645489354E-2</v>
      </c>
      <c r="K146" s="8">
        <f>Resultados_Simulacion!I146</f>
        <v>1.2603181064016301E-2</v>
      </c>
      <c r="L146" s="10">
        <f>(K146-Resultados_Simulacion!I135)/Resultados_Simulacion!I135</f>
        <v>-9.6458836325299613E-2</v>
      </c>
    </row>
    <row r="147" spans="1:12" x14ac:dyDescent="0.3">
      <c r="A147" s="4">
        <v>132000</v>
      </c>
      <c r="B147" s="4" t="s">
        <v>37</v>
      </c>
      <c r="C147" s="8">
        <f>Resultados_Simulacion!C147</f>
        <v>1.3711409999999999</v>
      </c>
      <c r="D147" s="10">
        <f>(C147-Resultados_Simulacion!C135)/Resultados_Simulacion!C135</f>
        <v>0</v>
      </c>
      <c r="E147" s="8">
        <f>Resultados_Simulacion!E147</f>
        <v>3.8403800000000002E-2</v>
      </c>
      <c r="F147" s="10">
        <f>(E147-Resultados_Simulacion!E135)/Resultados_Simulacion!E135</f>
        <v>0</v>
      </c>
      <c r="G147" s="8">
        <f>Resultados_Simulacion!F147</f>
        <v>61.59509693745445</v>
      </c>
      <c r="H147" s="10">
        <f>(G147-Resultados_Simulacion!F135)/Resultados_Simulacion!F135</f>
        <v>8.9385075514027603E-3</v>
      </c>
      <c r="I147" s="8">
        <f>Resultados_Simulacion!H147</f>
        <v>1.4984920000000001E-2</v>
      </c>
      <c r="J147" s="10">
        <f>(I147-Resultados_Simulacion!H135)/Resultados_Simulacion!H135</f>
        <v>-0.10882767840788259</v>
      </c>
      <c r="K147" s="8">
        <f>Resultados_Simulacion!I147</f>
        <v>1.2448142178710771E-2</v>
      </c>
      <c r="L147" s="10">
        <f>(K147-Resultados_Simulacion!I135)/Resultados_Simulacion!I135</f>
        <v>-0.10757380913512021</v>
      </c>
    </row>
    <row r="148" spans="1:12" x14ac:dyDescent="0.3">
      <c r="A148" s="4">
        <v>132000</v>
      </c>
      <c r="B148" s="4" t="s">
        <v>39</v>
      </c>
      <c r="C148" s="8">
        <f>Resultados_Simulacion!C148</f>
        <v>1.3711409999999999</v>
      </c>
      <c r="D148" s="10">
        <f>(C148-Resultados_Simulacion!C135)/Resultados_Simulacion!C135</f>
        <v>0</v>
      </c>
      <c r="E148" s="8">
        <f>Resultados_Simulacion!E148</f>
        <v>3.8403800000000002E-2</v>
      </c>
      <c r="F148" s="10">
        <f>(E148-Resultados_Simulacion!E135)/Resultados_Simulacion!E135</f>
        <v>0</v>
      </c>
      <c r="G148" s="8">
        <f>Resultados_Simulacion!F148</f>
        <v>61.049406357717338</v>
      </c>
      <c r="H148" s="10">
        <f>(G148-Resultados_Simulacion!F135)/Resultados_Simulacion!F135</f>
        <v>0</v>
      </c>
      <c r="I148" s="8">
        <f>Resultados_Simulacion!H148</f>
        <v>1.6814840000000001E-2</v>
      </c>
      <c r="J148" s="10">
        <f>(I148-Resultados_Simulacion!H135)/Resultados_Simulacion!H135</f>
        <v>0</v>
      </c>
      <c r="K148" s="8">
        <f>Resultados_Simulacion!I148</f>
        <v>1.2169368012309299E-2</v>
      </c>
      <c r="L148" s="10">
        <f>(K148-Resultados_Simulacion!I135)/Resultados_Simulacion!I135</f>
        <v>-0.12755955189588963</v>
      </c>
    </row>
    <row r="149" spans="1:12" x14ac:dyDescent="0.3">
      <c r="A149" s="4">
        <v>132000</v>
      </c>
      <c r="B149" s="4" t="s">
        <v>41</v>
      </c>
      <c r="C149" s="8">
        <f>Resultados_Simulacion!C149</f>
        <v>1.3711409999999999</v>
      </c>
      <c r="D149" s="10">
        <f>(C149-Resultados_Simulacion!C135)/Resultados_Simulacion!C135</f>
        <v>0</v>
      </c>
      <c r="E149" s="8">
        <f>Resultados_Simulacion!E149</f>
        <v>3.8403800000000002E-2</v>
      </c>
      <c r="F149" s="10">
        <f>(E149-Resultados_Simulacion!E135)/Resultados_Simulacion!E135</f>
        <v>0</v>
      </c>
      <c r="G149" s="8">
        <f>Resultados_Simulacion!F149</f>
        <v>61.049406357717338</v>
      </c>
      <c r="H149" s="10">
        <f>(G149-Resultados_Simulacion!F135)/Resultados_Simulacion!F135</f>
        <v>0</v>
      </c>
      <c r="I149" s="8">
        <f>Resultados_Simulacion!H149</f>
        <v>1.6814840000000001E-2</v>
      </c>
      <c r="J149" s="10">
        <f>(I149-Resultados_Simulacion!H135)/Resultados_Simulacion!H135</f>
        <v>0</v>
      </c>
      <c r="K149" s="8">
        <f>Resultados_Simulacion!I149</f>
        <v>1.2053240584274989E-2</v>
      </c>
      <c r="L149" s="10">
        <f>(K149-Resultados_Simulacion!I135)/Resultados_Simulacion!I135</f>
        <v>-0.13588490332325645</v>
      </c>
    </row>
    <row r="150" spans="1:12" x14ac:dyDescent="0.3">
      <c r="A150" s="4">
        <v>132000</v>
      </c>
      <c r="B150" s="4" t="s">
        <v>43</v>
      </c>
      <c r="C150" s="8">
        <f>Resultados_Simulacion!C150</f>
        <v>1.3711409999999999</v>
      </c>
      <c r="D150" s="10">
        <f>(C150-Resultados_Simulacion!C135)/Resultados_Simulacion!C135</f>
        <v>0</v>
      </c>
      <c r="E150" s="8">
        <f>Resultados_Simulacion!E150</f>
        <v>3.8403800000000002E-2</v>
      </c>
      <c r="F150" s="10">
        <f>(E150-Resultados_Simulacion!E135)/Resultados_Simulacion!E135</f>
        <v>0</v>
      </c>
      <c r="G150" s="8">
        <f>Resultados_Simulacion!F150</f>
        <v>61.049406357717338</v>
      </c>
      <c r="H150" s="10">
        <f>(G150-Resultados_Simulacion!F135)/Resultados_Simulacion!F135</f>
        <v>0</v>
      </c>
      <c r="I150" s="8">
        <f>Resultados_Simulacion!H150</f>
        <v>1.6814840000000001E-2</v>
      </c>
      <c r="J150" s="10">
        <f>(I150-Resultados_Simulacion!H135)/Resultados_Simulacion!H135</f>
        <v>0</v>
      </c>
      <c r="K150" s="8">
        <f>Resultados_Simulacion!I150</f>
        <v>1.1960276719332761E-2</v>
      </c>
      <c r="L150" s="10">
        <f>(K150-Resultados_Simulacion!I135)/Resultados_Simulacion!I135</f>
        <v>-0.14254962378414232</v>
      </c>
    </row>
    <row r="151" spans="1:12" x14ac:dyDescent="0.3">
      <c r="A151" s="4">
        <v>132000</v>
      </c>
      <c r="B151" s="4" t="s">
        <v>45</v>
      </c>
      <c r="C151" s="8">
        <f>Resultados_Simulacion!C151</f>
        <v>1.3711409999999999</v>
      </c>
      <c r="D151" s="10">
        <f>(C151-Resultados_Simulacion!C135)/Resultados_Simulacion!C135</f>
        <v>0</v>
      </c>
      <c r="E151" s="8">
        <f>Resultados_Simulacion!E151</f>
        <v>3.8403800000000002E-2</v>
      </c>
      <c r="F151" s="10">
        <f>(E151-Resultados_Simulacion!E135)/Resultados_Simulacion!E135</f>
        <v>0</v>
      </c>
      <c r="G151" s="8">
        <f>Resultados_Simulacion!F151</f>
        <v>61.049406357717338</v>
      </c>
      <c r="H151" s="10">
        <f>(G151-Resultados_Simulacion!F135)/Resultados_Simulacion!F135</f>
        <v>0</v>
      </c>
      <c r="I151" s="8">
        <f>Resultados_Simulacion!H151</f>
        <v>1.6814840000000001E-2</v>
      </c>
      <c r="J151" s="10">
        <f>(I151-Resultados_Simulacion!H135)/Resultados_Simulacion!H135</f>
        <v>0</v>
      </c>
      <c r="K151" s="8">
        <f>Resultados_Simulacion!I151</f>
        <v>1.1847395790714589E-2</v>
      </c>
      <c r="L151" s="10">
        <f>(K151-Resultados_Simulacion!I135)/Resultados_Simulacion!I135</f>
        <v>-0.15064222874492839</v>
      </c>
    </row>
    <row r="152" spans="1:12" x14ac:dyDescent="0.3">
      <c r="A152" s="4">
        <v>132000</v>
      </c>
      <c r="B152" s="4" t="s">
        <v>47</v>
      </c>
      <c r="C152" s="8">
        <f>Resultados_Simulacion!C152</f>
        <v>1.3711409999999999</v>
      </c>
      <c r="D152" s="10">
        <f>(C152-Resultados_Simulacion!C135)/Resultados_Simulacion!C135</f>
        <v>0</v>
      </c>
      <c r="E152" s="8">
        <f>Resultados_Simulacion!E152</f>
        <v>3.8403800000000002E-2</v>
      </c>
      <c r="F152" s="10">
        <f>(E152-Resultados_Simulacion!E135)/Resultados_Simulacion!E135</f>
        <v>0</v>
      </c>
      <c r="G152" s="8">
        <f>Resultados_Simulacion!F152</f>
        <v>61.049406357717338</v>
      </c>
      <c r="H152" s="10">
        <f>(G152-Resultados_Simulacion!F135)/Resultados_Simulacion!F135</f>
        <v>0</v>
      </c>
      <c r="I152" s="8">
        <f>Resultados_Simulacion!H152</f>
        <v>1.6814840000000001E-2</v>
      </c>
      <c r="J152" s="10">
        <f>(I152-Resultados_Simulacion!H135)/Resultados_Simulacion!H135</f>
        <v>0</v>
      </c>
      <c r="K152" s="8">
        <f>Resultados_Simulacion!I152</f>
        <v>1.183792900227265E-2</v>
      </c>
      <c r="L152" s="10">
        <f>(K152-Resultados_Simulacion!I135)/Resultados_Simulacion!I135</f>
        <v>-0.15132091716506973</v>
      </c>
    </row>
    <row r="153" spans="1:12" x14ac:dyDescent="0.3">
      <c r="A153" s="4">
        <v>132000</v>
      </c>
      <c r="B153" s="4" t="s">
        <v>49</v>
      </c>
      <c r="C153" s="8">
        <f>Resultados_Simulacion!C153</f>
        <v>1.3711409999999999</v>
      </c>
      <c r="D153" s="10">
        <f>(C153-Resultados_Simulacion!C135)/Resultados_Simulacion!C135</f>
        <v>0</v>
      </c>
      <c r="E153" s="8">
        <f>Resultados_Simulacion!E153</f>
        <v>3.8403800000000002E-2</v>
      </c>
      <c r="F153" s="10">
        <f>(E153-Resultados_Simulacion!E135)/Resultados_Simulacion!E135</f>
        <v>0</v>
      </c>
      <c r="G153" s="8">
        <f>Resultados_Simulacion!F153</f>
        <v>61.049406357717338</v>
      </c>
      <c r="H153" s="10">
        <f>(G153-Resultados_Simulacion!F135)/Resultados_Simulacion!F135</f>
        <v>0</v>
      </c>
      <c r="I153" s="8">
        <f>Resultados_Simulacion!H153</f>
        <v>1.6814840000000001E-2</v>
      </c>
      <c r="J153" s="10">
        <f>(I153-Resultados_Simulacion!H135)/Resultados_Simulacion!H135</f>
        <v>0</v>
      </c>
      <c r="K153" s="8">
        <f>Resultados_Simulacion!I153</f>
        <v>1.187752785392231E-2</v>
      </c>
      <c r="L153" s="10">
        <f>(K153-Resultados_Simulacion!I135)/Resultados_Simulacion!I135</f>
        <v>-0.14848201543716627</v>
      </c>
    </row>
    <row r="154" spans="1:12" x14ac:dyDescent="0.3">
      <c r="A154" s="12">
        <v>165000</v>
      </c>
      <c r="B154" s="12" t="s">
        <v>13</v>
      </c>
      <c r="C154" s="13">
        <f>Resultados_Simulacion!C154</f>
        <v>1.384817</v>
      </c>
      <c r="D154" s="14">
        <f>(C154-Resultados_Simulacion!C154)/Resultados_Simulacion!C154</f>
        <v>0</v>
      </c>
      <c r="E154" s="13">
        <f>Resultados_Simulacion!E154</f>
        <v>3.6417720000000001E-2</v>
      </c>
      <c r="F154" s="14">
        <f>(E154-Resultados_Simulacion!E154)/Resultados_Simulacion!E154</f>
        <v>0</v>
      </c>
      <c r="G154" s="13">
        <f>Resultados_Simulacion!F154</f>
        <v>67.541356310503232</v>
      </c>
      <c r="H154" s="14">
        <f>(G154-Resultados_Simulacion!F154)/Resultados_Simulacion!F154</f>
        <v>0</v>
      </c>
      <c r="I154" s="13">
        <f>Resultados_Simulacion!H154</f>
        <v>1.3485850000000001E-2</v>
      </c>
      <c r="J154" s="14">
        <f>(I154-Resultados_Simulacion!H154)/Resultados_Simulacion!H154</f>
        <v>0</v>
      </c>
      <c r="K154" s="13">
        <f>Resultados_Simulacion!I154</f>
        <v>1.1579610039676599E-2</v>
      </c>
      <c r="L154" s="14">
        <f>(K154-Resultados_Simulacion!I154)/Resultados_Simulacion!I154</f>
        <v>0</v>
      </c>
    </row>
    <row r="155" spans="1:12" x14ac:dyDescent="0.3">
      <c r="A155" s="4">
        <v>165000</v>
      </c>
      <c r="B155" s="4" t="s">
        <v>15</v>
      </c>
      <c r="C155" s="8">
        <f>Resultados_Simulacion!C155</f>
        <v>1.381737</v>
      </c>
      <c r="D155" s="10">
        <f>(C155-Resultados_Simulacion!C154)/Resultados_Simulacion!C154</f>
        <v>-2.224120587774393E-3</v>
      </c>
      <c r="E155" s="8">
        <f>Resultados_Simulacion!E155</f>
        <v>3.8995830000000002E-2</v>
      </c>
      <c r="F155" s="10">
        <f>(E155-Resultados_Simulacion!E154)/Resultados_Simulacion!E154</f>
        <v>7.0792734965286166E-2</v>
      </c>
      <c r="G155" s="8">
        <f>Resultados_Simulacion!F155</f>
        <v>49.922268206301673</v>
      </c>
      <c r="H155" s="10">
        <f>(G155-Resultados_Simulacion!F154)/Resultados_Simulacion!F154</f>
        <v>-0.26086369991154068</v>
      </c>
      <c r="I155" s="8">
        <f>Resultados_Simulacion!H155</f>
        <v>2.1509859999999999E-2</v>
      </c>
      <c r="J155" s="10">
        <f>(I155-Resultados_Simulacion!H154)/Resultados_Simulacion!H154</f>
        <v>0.59499475376042277</v>
      </c>
      <c r="K155" s="8">
        <f>Resultados_Simulacion!I155</f>
        <v>1.4949369524537039E-2</v>
      </c>
      <c r="L155" s="10">
        <f>(K155-Resultados_Simulacion!I154)/Resultados_Simulacion!I154</f>
        <v>0.29100802819043398</v>
      </c>
    </row>
    <row r="156" spans="1:12" x14ac:dyDescent="0.3">
      <c r="A156" s="4">
        <v>165000</v>
      </c>
      <c r="B156" s="4" t="s">
        <v>17</v>
      </c>
      <c r="C156" s="8">
        <f>Resultados_Simulacion!C156</f>
        <v>1.384817</v>
      </c>
      <c r="D156" s="10">
        <f>(C156-Resultados_Simulacion!C154)/Resultados_Simulacion!C154</f>
        <v>0</v>
      </c>
      <c r="E156" s="8">
        <f>Resultados_Simulacion!E156</f>
        <v>3.6417720000000001E-2</v>
      </c>
      <c r="F156" s="10">
        <f>(E156-Resultados_Simulacion!E154)/Resultados_Simulacion!E154</f>
        <v>0</v>
      </c>
      <c r="G156" s="8">
        <f>Resultados_Simulacion!F156</f>
        <v>53.408825016249011</v>
      </c>
      <c r="H156" s="10">
        <f>(G156-Resultados_Simulacion!F154)/Resultados_Simulacion!F154</f>
        <v>-0.20924263393947418</v>
      </c>
      <c r="I156" s="8">
        <f>Resultados_Simulacion!H156</f>
        <v>2.0770500000000001E-2</v>
      </c>
      <c r="J156" s="10">
        <f>(I156-Resultados_Simulacion!H154)/Resultados_Simulacion!H154</f>
        <v>0.54016988176496106</v>
      </c>
      <c r="K156" s="8">
        <f>Resultados_Simulacion!I156</f>
        <v>1.458323766933382E-2</v>
      </c>
      <c r="L156" s="10">
        <f>(K156-Resultados_Simulacion!I154)/Resultados_Simulacion!I154</f>
        <v>0.25938935934504986</v>
      </c>
    </row>
    <row r="157" spans="1:12" x14ac:dyDescent="0.3">
      <c r="A157" s="4">
        <v>165000</v>
      </c>
      <c r="B157" s="4" t="s">
        <v>19</v>
      </c>
      <c r="C157" s="8">
        <f>Resultados_Simulacion!C157</f>
        <v>1.384817</v>
      </c>
      <c r="D157" s="10">
        <f>(C157-Resultados_Simulacion!C154)/Resultados_Simulacion!C154</f>
        <v>0</v>
      </c>
      <c r="E157" s="8">
        <f>Resultados_Simulacion!E157</f>
        <v>3.6417720000000001E-2</v>
      </c>
      <c r="F157" s="10">
        <f>(E157-Resultados_Simulacion!E154)/Resultados_Simulacion!E154</f>
        <v>0</v>
      </c>
      <c r="G157" s="8">
        <f>Resultados_Simulacion!F157</f>
        <v>57.046535292851402</v>
      </c>
      <c r="H157" s="10">
        <f>(G157-Resultados_Simulacion!F154)/Resultados_Simulacion!F154</f>
        <v>-0.1553836285046559</v>
      </c>
      <c r="I157" s="8">
        <f>Resultados_Simulacion!H157</f>
        <v>2.0440400000000001E-2</v>
      </c>
      <c r="J157" s="10">
        <f>(I157-Resultados_Simulacion!H154)/Resultados_Simulacion!H154</f>
        <v>0.51569237385852584</v>
      </c>
      <c r="K157" s="8">
        <f>Resultados_Simulacion!I157</f>
        <v>1.4166418546154099E-2</v>
      </c>
      <c r="L157" s="10">
        <f>(K157-Resultados_Simulacion!I154)/Resultados_Simulacion!I154</f>
        <v>0.22339340423503118</v>
      </c>
    </row>
    <row r="158" spans="1:12" x14ac:dyDescent="0.3">
      <c r="A158" s="4">
        <v>165000</v>
      </c>
      <c r="B158" s="4" t="s">
        <v>21</v>
      </c>
      <c r="C158" s="8">
        <f>Resultados_Simulacion!C158</f>
        <v>1.384817</v>
      </c>
      <c r="D158" s="10">
        <f>(C158-Resultados_Simulacion!C154)/Resultados_Simulacion!C154</f>
        <v>0</v>
      </c>
      <c r="E158" s="8">
        <f>Resultados_Simulacion!E158</f>
        <v>3.6417720000000001E-2</v>
      </c>
      <c r="F158" s="10">
        <f>(E158-Resultados_Simulacion!E154)/Resultados_Simulacion!E154</f>
        <v>0</v>
      </c>
      <c r="G158" s="8">
        <f>Resultados_Simulacion!F158</f>
        <v>60.203580523698939</v>
      </c>
      <c r="H158" s="10">
        <f>(G158-Resultados_Simulacion!F154)/Resultados_Simulacion!F154</f>
        <v>-0.10864122646680119</v>
      </c>
      <c r="I158" s="8">
        <f>Resultados_Simulacion!H158</f>
        <v>1.995574E-2</v>
      </c>
      <c r="J158" s="10">
        <f>(I158-Resultados_Simulacion!H154)/Resultados_Simulacion!H154</f>
        <v>0.47975396434040113</v>
      </c>
      <c r="K158" s="8">
        <f>Resultados_Simulacion!I158</f>
        <v>1.3747809715586831E-2</v>
      </c>
      <c r="L158" s="10">
        <f>(K158-Resultados_Simulacion!I154)/Resultados_Simulacion!I154</f>
        <v>0.1872428923323903</v>
      </c>
    </row>
    <row r="159" spans="1:12" x14ac:dyDescent="0.3">
      <c r="A159" s="4">
        <v>165000</v>
      </c>
      <c r="B159" s="4" t="s">
        <v>23</v>
      </c>
      <c r="C159" s="8">
        <f>Resultados_Simulacion!C159</f>
        <v>1.384817</v>
      </c>
      <c r="D159" s="10">
        <f>(C159-Resultados_Simulacion!C154)/Resultados_Simulacion!C154</f>
        <v>0</v>
      </c>
      <c r="E159" s="8">
        <f>Resultados_Simulacion!E159</f>
        <v>3.6417720000000001E-2</v>
      </c>
      <c r="F159" s="10">
        <f>(E159-Resultados_Simulacion!E154)/Resultados_Simulacion!E154</f>
        <v>0</v>
      </c>
      <c r="G159" s="8">
        <f>Resultados_Simulacion!F159</f>
        <v>62.170865714046968</v>
      </c>
      <c r="H159" s="10">
        <f>(G159-Resultados_Simulacion!F154)/Resultados_Simulacion!F154</f>
        <v>-7.9514106464887629E-2</v>
      </c>
      <c r="I159" s="8">
        <f>Resultados_Simulacion!H159</f>
        <v>1.91472E-2</v>
      </c>
      <c r="J159" s="10">
        <f>(I159-Resultados_Simulacion!H154)/Resultados_Simulacion!H154</f>
        <v>0.41979927108784382</v>
      </c>
      <c r="K159" s="8">
        <f>Resultados_Simulacion!I159</f>
        <v>1.336916371661764E-2</v>
      </c>
      <c r="L159" s="10">
        <f>(K159-Resultados_Simulacion!I154)/Resultados_Simulacion!I154</f>
        <v>0.15454351837490896</v>
      </c>
    </row>
    <row r="160" spans="1:12" x14ac:dyDescent="0.3">
      <c r="A160" s="4">
        <v>165000</v>
      </c>
      <c r="B160" s="4" t="s">
        <v>25</v>
      </c>
      <c r="C160" s="8">
        <f>Resultados_Simulacion!C160</f>
        <v>1.384817</v>
      </c>
      <c r="D160" s="10">
        <f>(C160-Resultados_Simulacion!C154)/Resultados_Simulacion!C154</f>
        <v>0</v>
      </c>
      <c r="E160" s="8">
        <f>Resultados_Simulacion!E160</f>
        <v>3.6417720000000001E-2</v>
      </c>
      <c r="F160" s="10">
        <f>(E160-Resultados_Simulacion!E154)/Resultados_Simulacion!E154</f>
        <v>0</v>
      </c>
      <c r="G160" s="8">
        <f>Resultados_Simulacion!F160</f>
        <v>63.646465002068283</v>
      </c>
      <c r="H160" s="10">
        <f>(G160-Resultados_Simulacion!F154)/Resultados_Simulacion!F154</f>
        <v>-5.7666761835951798E-2</v>
      </c>
      <c r="I160" s="8">
        <f>Resultados_Simulacion!H160</f>
        <v>1.8179359999999999E-2</v>
      </c>
      <c r="J160" s="10">
        <f>(I160-Resultados_Simulacion!H154)/Resultados_Simulacion!H154</f>
        <v>0.34803219670988461</v>
      </c>
      <c r="K160" s="8">
        <f>Resultados_Simulacion!I160</f>
        <v>1.2942509488287511E-2</v>
      </c>
      <c r="L160" s="10">
        <f>(K160-Resultados_Simulacion!I154)/Resultados_Simulacion!I154</f>
        <v>0.11769821642879565</v>
      </c>
    </row>
    <row r="161" spans="1:12" x14ac:dyDescent="0.3">
      <c r="A161" s="4">
        <v>165000</v>
      </c>
      <c r="B161" s="4" t="s">
        <v>27</v>
      </c>
      <c r="C161" s="8">
        <f>Resultados_Simulacion!C161</f>
        <v>1.384817</v>
      </c>
      <c r="D161" s="10">
        <f>(C161-Resultados_Simulacion!C154)/Resultados_Simulacion!C154</f>
        <v>0</v>
      </c>
      <c r="E161" s="8">
        <f>Resultados_Simulacion!E161</f>
        <v>3.6417720000000001E-2</v>
      </c>
      <c r="F161" s="10">
        <f>(E161-Resultados_Simulacion!E154)/Resultados_Simulacion!E154</f>
        <v>0</v>
      </c>
      <c r="G161" s="8">
        <f>Resultados_Simulacion!F161</f>
        <v>65.336665911963593</v>
      </c>
      <c r="H161" s="10">
        <f>(G161-Resultados_Simulacion!F154)/Resultados_Simulacion!F154</f>
        <v>-3.2642080629890942E-2</v>
      </c>
      <c r="I161" s="8">
        <f>Resultados_Simulacion!H161</f>
        <v>1.6827809999999999E-2</v>
      </c>
      <c r="J161" s="10">
        <f>(I161-Resultados_Simulacion!H154)/Resultados_Simulacion!H154</f>
        <v>0.24781233663432398</v>
      </c>
      <c r="K161" s="8">
        <f>Resultados_Simulacion!I161</f>
        <v>1.2452900141780051E-2</v>
      </c>
      <c r="L161" s="10">
        <f>(K161-Resultados_Simulacion!I154)/Resultados_Simulacion!I154</f>
        <v>7.541619269657554E-2</v>
      </c>
    </row>
    <row r="162" spans="1:12" x14ac:dyDescent="0.3">
      <c r="A162" s="4">
        <v>165000</v>
      </c>
      <c r="B162" s="4" t="s">
        <v>29</v>
      </c>
      <c r="C162" s="8">
        <f>Resultados_Simulacion!C162</f>
        <v>1.384817</v>
      </c>
      <c r="D162" s="10">
        <f>(C162-Resultados_Simulacion!C154)/Resultados_Simulacion!C154</f>
        <v>0</v>
      </c>
      <c r="E162" s="8">
        <f>Resultados_Simulacion!E162</f>
        <v>3.6417720000000001E-2</v>
      </c>
      <c r="F162" s="10">
        <f>(E162-Resultados_Simulacion!E154)/Resultados_Simulacion!E154</f>
        <v>0</v>
      </c>
      <c r="G162" s="8">
        <f>Resultados_Simulacion!F162</f>
        <v>66.037766932060649</v>
      </c>
      <c r="H162" s="10">
        <f>(G162-Resultados_Simulacion!F154)/Resultados_Simulacion!F154</f>
        <v>-2.2261758729425506E-2</v>
      </c>
      <c r="I162" s="8">
        <f>Resultados_Simulacion!H162</f>
        <v>1.638947E-2</v>
      </c>
      <c r="J162" s="10">
        <f>(I162-Resultados_Simulacion!H154)/Resultados_Simulacion!H154</f>
        <v>0.21530863831349148</v>
      </c>
      <c r="K162" s="8">
        <f>Resultados_Simulacion!I162</f>
        <v>1.222583689860425E-2</v>
      </c>
      <c r="L162" s="10">
        <f>(K162-Resultados_Simulacion!I154)/Resultados_Simulacion!I154</f>
        <v>5.5807307561602404E-2</v>
      </c>
    </row>
    <row r="163" spans="1:12" x14ac:dyDescent="0.3">
      <c r="A163" s="4">
        <v>165000</v>
      </c>
      <c r="B163" s="4" t="s">
        <v>31</v>
      </c>
      <c r="C163" s="8">
        <f>Resultados_Simulacion!C163</f>
        <v>1.384817</v>
      </c>
      <c r="D163" s="10">
        <f>(C163-Resultados_Simulacion!C154)/Resultados_Simulacion!C154</f>
        <v>0</v>
      </c>
      <c r="E163" s="8">
        <f>Resultados_Simulacion!E163</f>
        <v>3.6417720000000001E-2</v>
      </c>
      <c r="F163" s="10">
        <f>(E163-Resultados_Simulacion!E154)/Resultados_Simulacion!E154</f>
        <v>0</v>
      </c>
      <c r="G163" s="8">
        <f>Resultados_Simulacion!F163</f>
        <v>66.682813632322024</v>
      </c>
      <c r="H163" s="10">
        <f>(G163-Resultados_Simulacion!F154)/Resultados_Simulacion!F154</f>
        <v>-1.2711362712858321E-2</v>
      </c>
      <c r="I163" s="8">
        <f>Resultados_Simulacion!H163</f>
        <v>1.556536E-2</v>
      </c>
      <c r="J163" s="10">
        <f>(I163-Resultados_Simulacion!H154)/Resultados_Simulacion!H154</f>
        <v>0.15419940159500511</v>
      </c>
      <c r="K163" s="8">
        <f>Resultados_Simulacion!I163</f>
        <v>1.201804597248665E-2</v>
      </c>
      <c r="L163" s="10">
        <f>(K163-Resultados_Simulacion!I154)/Resultados_Simulacion!I154</f>
        <v>3.7862754558036518E-2</v>
      </c>
    </row>
    <row r="164" spans="1:12" x14ac:dyDescent="0.3">
      <c r="A164" s="4">
        <v>165000</v>
      </c>
      <c r="B164" s="4" t="s">
        <v>33</v>
      </c>
      <c r="C164" s="8">
        <f>Resultados_Simulacion!C164</f>
        <v>1.384817</v>
      </c>
      <c r="D164" s="10">
        <f>(C164-Resultados_Simulacion!C154)/Resultados_Simulacion!C154</f>
        <v>0</v>
      </c>
      <c r="E164" s="8">
        <f>Resultados_Simulacion!E164</f>
        <v>3.6417720000000001E-2</v>
      </c>
      <c r="F164" s="10">
        <f>(E164-Resultados_Simulacion!E154)/Resultados_Simulacion!E154</f>
        <v>0</v>
      </c>
      <c r="G164" s="8">
        <f>Resultados_Simulacion!F164</f>
        <v>67.402071975642087</v>
      </c>
      <c r="H164" s="10">
        <f>(G164-Resultados_Simulacion!F154)/Resultados_Simulacion!F154</f>
        <v>-2.0622081413470988E-3</v>
      </c>
      <c r="I164" s="8">
        <f>Resultados_Simulacion!H164</f>
        <v>1.4424879999999999E-2</v>
      </c>
      <c r="J164" s="10">
        <f>(I164-Resultados_Simulacion!H154)/Resultados_Simulacion!H154</f>
        <v>6.9630761131111399E-2</v>
      </c>
      <c r="K164" s="8">
        <f>Resultados_Simulacion!I164</f>
        <v>1.1656779025726731E-2</v>
      </c>
      <c r="L164" s="10">
        <f>(K164-Resultados_Simulacion!I154)/Resultados_Simulacion!I154</f>
        <v>6.6642128522219537E-3</v>
      </c>
    </row>
    <row r="165" spans="1:12" x14ac:dyDescent="0.3">
      <c r="A165" s="4">
        <v>165000</v>
      </c>
      <c r="B165" s="4" t="s">
        <v>35</v>
      </c>
      <c r="C165" s="8">
        <f>Resultados_Simulacion!C165</f>
        <v>1.384817</v>
      </c>
      <c r="D165" s="10">
        <f>(C165-Resultados_Simulacion!C154)/Resultados_Simulacion!C154</f>
        <v>0</v>
      </c>
      <c r="E165" s="8">
        <f>Resultados_Simulacion!E165</f>
        <v>3.6417720000000001E-2</v>
      </c>
      <c r="F165" s="10">
        <f>(E165-Resultados_Simulacion!E154)/Resultados_Simulacion!E154</f>
        <v>0</v>
      </c>
      <c r="G165" s="8">
        <f>Resultados_Simulacion!F165</f>
        <v>67.578861654713961</v>
      </c>
      <c r="H165" s="10">
        <f>(G165-Resultados_Simulacion!F154)/Resultados_Simulacion!F154</f>
        <v>5.5529450783173447E-4</v>
      </c>
      <c r="I165" s="8">
        <f>Resultados_Simulacion!H165</f>
        <v>1.4086059999999999E-2</v>
      </c>
      <c r="J165" s="10">
        <f>(I165-Resultados_Simulacion!H154)/Resultados_Simulacion!H154</f>
        <v>4.4506649562318916E-2</v>
      </c>
      <c r="K165" s="8">
        <f>Resultados_Simulacion!I165</f>
        <v>1.149071431576883E-2</v>
      </c>
      <c r="L165" s="10">
        <f>(K165-Resultados_Simulacion!I154)/Resultados_Simulacion!I154</f>
        <v>-7.6769186184314558E-3</v>
      </c>
    </row>
    <row r="166" spans="1:12" x14ac:dyDescent="0.3">
      <c r="A166" s="4">
        <v>165000</v>
      </c>
      <c r="B166" s="4" t="s">
        <v>37</v>
      </c>
      <c r="C166" s="8">
        <f>Resultados_Simulacion!C166</f>
        <v>1.384817</v>
      </c>
      <c r="D166" s="10">
        <f>(C166-Resultados_Simulacion!C154)/Resultados_Simulacion!C154</f>
        <v>0</v>
      </c>
      <c r="E166" s="8">
        <f>Resultados_Simulacion!E166</f>
        <v>3.6417720000000001E-2</v>
      </c>
      <c r="F166" s="10">
        <f>(E166-Resultados_Simulacion!E154)/Resultados_Simulacion!E154</f>
        <v>0</v>
      </c>
      <c r="G166" s="8">
        <f>Resultados_Simulacion!F166</f>
        <v>67.648980398482337</v>
      </c>
      <c r="H166" s="10">
        <f>(G166-Resultados_Simulacion!F154)/Resultados_Simulacion!F154</f>
        <v>1.5934546455408974E-3</v>
      </c>
      <c r="I166" s="8">
        <f>Resultados_Simulacion!H166</f>
        <v>1.376322E-2</v>
      </c>
      <c r="J166" s="10">
        <f>(I166-Resultados_Simulacion!H154)/Resultados_Simulacion!H154</f>
        <v>2.0567483695873749E-2</v>
      </c>
      <c r="K166" s="8">
        <f>Resultados_Simulacion!I166</f>
        <v>1.133173348770245E-2</v>
      </c>
      <c r="L166" s="10">
        <f>(K166-Resultados_Simulacion!I154)/Resultados_Simulacion!I154</f>
        <v>-2.1406295300517093E-2</v>
      </c>
    </row>
    <row r="167" spans="1:12" x14ac:dyDescent="0.3">
      <c r="A167" s="4">
        <v>165000</v>
      </c>
      <c r="B167" s="4" t="s">
        <v>39</v>
      </c>
      <c r="C167" s="8">
        <f>Resultados_Simulacion!C167</f>
        <v>1.384817</v>
      </c>
      <c r="D167" s="10">
        <f>(C167-Resultados_Simulacion!C154)/Resultados_Simulacion!C154</f>
        <v>0</v>
      </c>
      <c r="E167" s="8">
        <f>Resultados_Simulacion!E167</f>
        <v>3.6417720000000001E-2</v>
      </c>
      <c r="F167" s="10">
        <f>(E167-Resultados_Simulacion!E154)/Resultados_Simulacion!E154</f>
        <v>0</v>
      </c>
      <c r="G167" s="8">
        <f>Resultados_Simulacion!F167</f>
        <v>67.541356310503232</v>
      </c>
      <c r="H167" s="10">
        <f>(G167-Resultados_Simulacion!F154)/Resultados_Simulacion!F154</f>
        <v>0</v>
      </c>
      <c r="I167" s="8">
        <f>Resultados_Simulacion!H167</f>
        <v>1.3485850000000001E-2</v>
      </c>
      <c r="J167" s="10">
        <f>(I167-Resultados_Simulacion!H154)/Resultados_Simulacion!H154</f>
        <v>0</v>
      </c>
      <c r="K167" s="8">
        <f>Resultados_Simulacion!I167</f>
        <v>1.103906403470364E-2</v>
      </c>
      <c r="L167" s="10">
        <f>(K167-Resultados_Simulacion!I154)/Resultados_Simulacion!I154</f>
        <v>-4.6680847033779345E-2</v>
      </c>
    </row>
    <row r="168" spans="1:12" x14ac:dyDescent="0.3">
      <c r="A168" s="4">
        <v>165000</v>
      </c>
      <c r="B168" s="4" t="s">
        <v>41</v>
      </c>
      <c r="C168" s="8">
        <f>Resultados_Simulacion!C168</f>
        <v>1.384817</v>
      </c>
      <c r="D168" s="10">
        <f>(C168-Resultados_Simulacion!C154)/Resultados_Simulacion!C154</f>
        <v>0</v>
      </c>
      <c r="E168" s="8">
        <f>Resultados_Simulacion!E168</f>
        <v>3.6417720000000001E-2</v>
      </c>
      <c r="F168" s="10">
        <f>(E168-Resultados_Simulacion!E154)/Resultados_Simulacion!E154</f>
        <v>0</v>
      </c>
      <c r="G168" s="8">
        <f>Resultados_Simulacion!F168</f>
        <v>67.541356310503232</v>
      </c>
      <c r="H168" s="10">
        <f>(G168-Resultados_Simulacion!F154)/Resultados_Simulacion!F154</f>
        <v>0</v>
      </c>
      <c r="I168" s="8">
        <f>Resultados_Simulacion!H168</f>
        <v>1.3485850000000001E-2</v>
      </c>
      <c r="J168" s="10">
        <f>(I168-Resultados_Simulacion!H154)/Resultados_Simulacion!H154</f>
        <v>0</v>
      </c>
      <c r="K168" s="8">
        <f>Resultados_Simulacion!I168</f>
        <v>1.0912209725465451E-2</v>
      </c>
      <c r="L168" s="10">
        <f>(K168-Resultados_Simulacion!I154)/Resultados_Simulacion!I154</f>
        <v>-5.7635819507250712E-2</v>
      </c>
    </row>
    <row r="169" spans="1:12" x14ac:dyDescent="0.3">
      <c r="A169" s="4">
        <v>165000</v>
      </c>
      <c r="B169" s="4" t="s">
        <v>43</v>
      </c>
      <c r="C169" s="8">
        <f>Resultados_Simulacion!C169</f>
        <v>1.384817</v>
      </c>
      <c r="D169" s="10">
        <f>(C169-Resultados_Simulacion!C154)/Resultados_Simulacion!C154</f>
        <v>0</v>
      </c>
      <c r="E169" s="8">
        <f>Resultados_Simulacion!E169</f>
        <v>3.6417720000000001E-2</v>
      </c>
      <c r="F169" s="10">
        <f>(E169-Resultados_Simulacion!E154)/Resultados_Simulacion!E154</f>
        <v>0</v>
      </c>
      <c r="G169" s="8">
        <f>Resultados_Simulacion!F169</f>
        <v>67.541356310503232</v>
      </c>
      <c r="H169" s="10">
        <f>(G169-Resultados_Simulacion!F154)/Resultados_Simulacion!F154</f>
        <v>0</v>
      </c>
      <c r="I169" s="8">
        <f>Resultados_Simulacion!H169</f>
        <v>1.3485850000000001E-2</v>
      </c>
      <c r="J169" s="10">
        <f>(I169-Resultados_Simulacion!H154)/Resultados_Simulacion!H154</f>
        <v>0</v>
      </c>
      <c r="K169" s="8">
        <f>Resultados_Simulacion!I169</f>
        <v>1.0806604146813E-2</v>
      </c>
      <c r="L169" s="10">
        <f>(K169-Resultados_Simulacion!I154)/Resultados_Simulacion!I154</f>
        <v>-6.67557793582821E-2</v>
      </c>
    </row>
    <row r="170" spans="1:12" x14ac:dyDescent="0.3">
      <c r="A170" s="4">
        <v>165000</v>
      </c>
      <c r="B170" s="4" t="s">
        <v>45</v>
      </c>
      <c r="C170" s="8">
        <f>Resultados_Simulacion!C170</f>
        <v>1.384817</v>
      </c>
      <c r="D170" s="10">
        <f>(C170-Resultados_Simulacion!C154)/Resultados_Simulacion!C154</f>
        <v>0</v>
      </c>
      <c r="E170" s="8">
        <f>Resultados_Simulacion!E170</f>
        <v>3.6417720000000001E-2</v>
      </c>
      <c r="F170" s="10">
        <f>(E170-Resultados_Simulacion!E154)/Resultados_Simulacion!E154</f>
        <v>0</v>
      </c>
      <c r="G170" s="8">
        <f>Resultados_Simulacion!F170</f>
        <v>67.541356310503232</v>
      </c>
      <c r="H170" s="10">
        <f>(G170-Resultados_Simulacion!F154)/Resultados_Simulacion!F154</f>
        <v>0</v>
      </c>
      <c r="I170" s="8">
        <f>Resultados_Simulacion!H170</f>
        <v>1.3485850000000001E-2</v>
      </c>
      <c r="J170" s="10">
        <f>(I170-Resultados_Simulacion!H154)/Resultados_Simulacion!H154</f>
        <v>0</v>
      </c>
      <c r="K170" s="8">
        <f>Resultados_Simulacion!I170</f>
        <v>1.0661478785788769E-2</v>
      </c>
      <c r="L170" s="10">
        <f>(K170-Resultados_Simulacion!I154)/Resultados_Simulacion!I154</f>
        <v>-7.928861600191435E-2</v>
      </c>
    </row>
    <row r="171" spans="1:12" x14ac:dyDescent="0.3">
      <c r="A171" s="4">
        <v>165000</v>
      </c>
      <c r="B171" s="4" t="s">
        <v>47</v>
      </c>
      <c r="C171" s="8">
        <f>Resultados_Simulacion!C171</f>
        <v>1.384817</v>
      </c>
      <c r="D171" s="10">
        <f>(C171-Resultados_Simulacion!C154)/Resultados_Simulacion!C154</f>
        <v>0</v>
      </c>
      <c r="E171" s="8">
        <f>Resultados_Simulacion!E171</f>
        <v>3.6417720000000001E-2</v>
      </c>
      <c r="F171" s="10">
        <f>(E171-Resultados_Simulacion!E154)/Resultados_Simulacion!E154</f>
        <v>0</v>
      </c>
      <c r="G171" s="8">
        <f>Resultados_Simulacion!F171</f>
        <v>67.541356310503232</v>
      </c>
      <c r="H171" s="10">
        <f>(G171-Resultados_Simulacion!F154)/Resultados_Simulacion!F154</f>
        <v>0</v>
      </c>
      <c r="I171" s="8">
        <f>Resultados_Simulacion!H171</f>
        <v>1.3485850000000001E-2</v>
      </c>
      <c r="J171" s="10">
        <f>(I171-Resultados_Simulacion!H154)/Resultados_Simulacion!H154</f>
        <v>0</v>
      </c>
      <c r="K171" s="8">
        <f>Resultados_Simulacion!I171</f>
        <v>1.0632274409502219E-2</v>
      </c>
      <c r="L171" s="10">
        <f>(K171-Resultados_Simulacion!I154)/Resultados_Simulacion!I154</f>
        <v>-8.1810667796964762E-2</v>
      </c>
    </row>
    <row r="172" spans="1:12" x14ac:dyDescent="0.3">
      <c r="A172" s="4">
        <v>165000</v>
      </c>
      <c r="B172" s="4" t="s">
        <v>49</v>
      </c>
      <c r="C172" s="8">
        <f>Resultados_Simulacion!C172</f>
        <v>1.384817</v>
      </c>
      <c r="D172" s="10">
        <f>(C172-Resultados_Simulacion!C154)/Resultados_Simulacion!C154</f>
        <v>0</v>
      </c>
      <c r="E172" s="8">
        <f>Resultados_Simulacion!E172</f>
        <v>3.6417720000000001E-2</v>
      </c>
      <c r="F172" s="10">
        <f>(E172-Resultados_Simulacion!E154)/Resultados_Simulacion!E154</f>
        <v>0</v>
      </c>
      <c r="G172" s="8">
        <f>Resultados_Simulacion!F172</f>
        <v>67.541356310503232</v>
      </c>
      <c r="H172" s="10">
        <f>(G172-Resultados_Simulacion!F154)/Resultados_Simulacion!F154</f>
        <v>0</v>
      </c>
      <c r="I172" s="8">
        <f>Resultados_Simulacion!H172</f>
        <v>1.3485850000000001E-2</v>
      </c>
      <c r="J172" s="10">
        <f>(I172-Resultados_Simulacion!H154)/Resultados_Simulacion!H154</f>
        <v>0</v>
      </c>
      <c r="K172" s="8">
        <f>Resultados_Simulacion!I172</f>
        <v>1.06442990273471E-2</v>
      </c>
      <c r="L172" s="10">
        <f>(K172-Resultados_Simulacion!I154)/Resultados_Simulacion!I154</f>
        <v>-8.0772237504089683E-2</v>
      </c>
    </row>
    <row r="173" spans="1:12" x14ac:dyDescent="0.3">
      <c r="A173" s="12">
        <v>198000</v>
      </c>
      <c r="B173" s="12" t="s">
        <v>13</v>
      </c>
      <c r="C173" s="13">
        <f>Resultados_Simulacion!C173</f>
        <v>1.394817</v>
      </c>
      <c r="D173" s="14">
        <f>(C173-Resultados_Simulacion!C173)/Resultados_Simulacion!C173</f>
        <v>0</v>
      </c>
      <c r="E173" s="13">
        <f>Resultados_Simulacion!E173</f>
        <v>3.515857E-2</v>
      </c>
      <c r="F173" s="14">
        <f>(E173-Resultados_Simulacion!E173)/Resultados_Simulacion!E173</f>
        <v>0</v>
      </c>
      <c r="G173" s="13">
        <f>Resultados_Simulacion!F173</f>
        <v>72.872473565438469</v>
      </c>
      <c r="H173" s="14">
        <f>(G173-Resultados_Simulacion!F173)/Resultados_Simulacion!F173</f>
        <v>0</v>
      </c>
      <c r="I173" s="13">
        <f>Resultados_Simulacion!H173</f>
        <v>1.2177240000000001E-2</v>
      </c>
      <c r="J173" s="14">
        <f>(I173-Resultados_Simulacion!H173)/Resultados_Simulacion!H173</f>
        <v>0</v>
      </c>
      <c r="K173" s="13">
        <f>Resultados_Simulacion!I173</f>
        <v>1.0259174343488881E-2</v>
      </c>
      <c r="L173" s="14">
        <f>(K173-Resultados_Simulacion!I173)/Resultados_Simulacion!I173</f>
        <v>0</v>
      </c>
    </row>
    <row r="174" spans="1:12" x14ac:dyDescent="0.3">
      <c r="A174" s="4">
        <v>198000</v>
      </c>
      <c r="B174" s="4" t="s">
        <v>15</v>
      </c>
      <c r="C174" s="8">
        <f>Resultados_Simulacion!C174</f>
        <v>1.3931500000000001</v>
      </c>
      <c r="D174" s="10">
        <f>(C174-Resultados_Simulacion!C173)/Resultados_Simulacion!C173</f>
        <v>-1.1951388605099186E-3</v>
      </c>
      <c r="E174" s="8">
        <f>Resultados_Simulacion!E174</f>
        <v>3.528601E-2</v>
      </c>
      <c r="F174" s="10">
        <f>(E174-Resultados_Simulacion!E173)/Resultados_Simulacion!E173</f>
        <v>3.6247208006468835E-3</v>
      </c>
      <c r="G174" s="8">
        <f>Resultados_Simulacion!F174</f>
        <v>53.152632403489022</v>
      </c>
      <c r="H174" s="10">
        <f>(G174-Resultados_Simulacion!F173)/Resultados_Simulacion!F173</f>
        <v>-0.27060754489473043</v>
      </c>
      <c r="I174" s="8">
        <f>Resultados_Simulacion!H174</f>
        <v>2.0362189999999999E-2</v>
      </c>
      <c r="J174" s="10">
        <f>(I174-Resultados_Simulacion!H173)/Resultados_Simulacion!H173</f>
        <v>0.67215148917160195</v>
      </c>
      <c r="K174" s="8">
        <f>Resultados_Simulacion!I174</f>
        <v>1.411760801180317E-2</v>
      </c>
      <c r="L174" s="10">
        <f>(K174-Resultados_Simulacion!I173)/Resultados_Simulacion!I173</f>
        <v>0.37609592537659664</v>
      </c>
    </row>
    <row r="175" spans="1:12" x14ac:dyDescent="0.3">
      <c r="A175" s="4">
        <v>198000</v>
      </c>
      <c r="B175" s="4" t="s">
        <v>17</v>
      </c>
      <c r="C175" s="8">
        <f>Resultados_Simulacion!C175</f>
        <v>1.394817</v>
      </c>
      <c r="D175" s="10">
        <f>(C175-Resultados_Simulacion!C173)/Resultados_Simulacion!C173</f>
        <v>0</v>
      </c>
      <c r="E175" s="8">
        <f>Resultados_Simulacion!E175</f>
        <v>3.515857E-2</v>
      </c>
      <c r="F175" s="10">
        <f>(E175-Resultados_Simulacion!E173)/Resultados_Simulacion!E173</f>
        <v>0</v>
      </c>
      <c r="G175" s="8">
        <f>Resultados_Simulacion!F175</f>
        <v>57.024102198607402</v>
      </c>
      <c r="H175" s="10">
        <f>(G175-Resultados_Simulacion!F173)/Resultados_Simulacion!F173</f>
        <v>-0.21748090316434024</v>
      </c>
      <c r="I175" s="8">
        <f>Resultados_Simulacion!H175</f>
        <v>1.9979920000000002E-2</v>
      </c>
      <c r="J175" s="10">
        <f>(I175-Resultados_Simulacion!H173)/Resultados_Simulacion!H173</f>
        <v>0.64075931820346821</v>
      </c>
      <c r="K175" s="8">
        <f>Resultados_Simulacion!I175</f>
        <v>1.3758398259216381E-2</v>
      </c>
      <c r="L175" s="10">
        <f>(K175-Resultados_Simulacion!I173)/Resultados_Simulacion!I173</f>
        <v>0.34108241058875544</v>
      </c>
    </row>
    <row r="176" spans="1:12" x14ac:dyDescent="0.3">
      <c r="A176" s="4">
        <v>198000</v>
      </c>
      <c r="B176" s="4" t="s">
        <v>19</v>
      </c>
      <c r="C176" s="8">
        <f>Resultados_Simulacion!C176</f>
        <v>1.394817</v>
      </c>
      <c r="D176" s="10">
        <f>(C176-Resultados_Simulacion!C173)/Resultados_Simulacion!C173</f>
        <v>0</v>
      </c>
      <c r="E176" s="8">
        <f>Resultados_Simulacion!E176</f>
        <v>3.515857E-2</v>
      </c>
      <c r="F176" s="10">
        <f>(E176-Resultados_Simulacion!E173)/Resultados_Simulacion!E173</f>
        <v>0</v>
      </c>
      <c r="G176" s="8">
        <f>Resultados_Simulacion!F176</f>
        <v>61.047010366665482</v>
      </c>
      <c r="H176" s="10">
        <f>(G176-Resultados_Simulacion!F173)/Resultados_Simulacion!F173</f>
        <v>-0.16227613281376932</v>
      </c>
      <c r="I176" s="8">
        <f>Resultados_Simulacion!H176</f>
        <v>1.9257880000000002E-2</v>
      </c>
      <c r="J176" s="10">
        <f>(I176-Resultados_Simulacion!H173)/Resultados_Simulacion!H173</f>
        <v>0.58146509389648238</v>
      </c>
      <c r="K176" s="8">
        <f>Resultados_Simulacion!I176</f>
        <v>1.3346974777318809E-2</v>
      </c>
      <c r="L176" s="10">
        <f>(K176-Resultados_Simulacion!I173)/Resultados_Simulacion!I173</f>
        <v>0.3009794287967863</v>
      </c>
    </row>
    <row r="177" spans="1:12" x14ac:dyDescent="0.3">
      <c r="A177" s="4">
        <v>198000</v>
      </c>
      <c r="B177" s="4" t="s">
        <v>21</v>
      </c>
      <c r="C177" s="8">
        <f>Resultados_Simulacion!C177</f>
        <v>1.394817</v>
      </c>
      <c r="D177" s="10">
        <f>(C177-Resultados_Simulacion!C173)/Resultados_Simulacion!C173</f>
        <v>0</v>
      </c>
      <c r="E177" s="8">
        <f>Resultados_Simulacion!E177</f>
        <v>3.515857E-2</v>
      </c>
      <c r="F177" s="10">
        <f>(E177-Resultados_Simulacion!E173)/Resultados_Simulacion!E173</f>
        <v>0</v>
      </c>
      <c r="G177" s="8">
        <f>Resultados_Simulacion!F177</f>
        <v>64.571922144881327</v>
      </c>
      <c r="H177" s="10">
        <f>(G177-Resultados_Simulacion!F173)/Resultados_Simulacion!F173</f>
        <v>-0.11390516904992064</v>
      </c>
      <c r="I177" s="8">
        <f>Resultados_Simulacion!H177</f>
        <v>1.875535E-2</v>
      </c>
      <c r="J177" s="10">
        <f>(I177-Resultados_Simulacion!H173)/Resultados_Simulacion!H173</f>
        <v>0.54019712184370183</v>
      </c>
      <c r="K177" s="8">
        <f>Resultados_Simulacion!I177</f>
        <v>1.2931874261827349E-2</v>
      </c>
      <c r="L177" s="10">
        <f>(K177-Resultados_Simulacion!I173)/Resultados_Simulacion!I173</f>
        <v>0.26051803282149427</v>
      </c>
    </row>
    <row r="178" spans="1:12" x14ac:dyDescent="0.3">
      <c r="A178" s="4">
        <v>198000</v>
      </c>
      <c r="B178" s="4" t="s">
        <v>23</v>
      </c>
      <c r="C178" s="8">
        <f>Resultados_Simulacion!C178</f>
        <v>1.394817</v>
      </c>
      <c r="D178" s="10">
        <f>(C178-Resultados_Simulacion!C173)/Resultados_Simulacion!C173</f>
        <v>0</v>
      </c>
      <c r="E178" s="8">
        <f>Resultados_Simulacion!E178</f>
        <v>3.515857E-2</v>
      </c>
      <c r="F178" s="10">
        <f>(E178-Resultados_Simulacion!E173)/Resultados_Simulacion!E173</f>
        <v>0</v>
      </c>
      <c r="G178" s="8">
        <f>Resultados_Simulacion!F178</f>
        <v>66.6982576567828</v>
      </c>
      <c r="H178" s="10">
        <f>(G178-Resultados_Simulacion!F173)/Resultados_Simulacion!F173</f>
        <v>-8.4726311686281766E-2</v>
      </c>
      <c r="I178" s="8">
        <f>Resultados_Simulacion!H178</f>
        <v>1.7979809999999999E-2</v>
      </c>
      <c r="J178" s="10">
        <f>(I178-Resultados_Simulacion!H173)/Resultados_Simulacion!H173</f>
        <v>0.47650945534456068</v>
      </c>
      <c r="K178" s="8">
        <f>Resultados_Simulacion!I178</f>
        <v>1.255463201077155E-2</v>
      </c>
      <c r="L178" s="10">
        <f>(K178-Resultados_Simulacion!I173)/Resultados_Simulacion!I173</f>
        <v>0.22374682312904753</v>
      </c>
    </row>
    <row r="179" spans="1:12" x14ac:dyDescent="0.3">
      <c r="A179" s="4">
        <v>198000</v>
      </c>
      <c r="B179" s="4" t="s">
        <v>25</v>
      </c>
      <c r="C179" s="8">
        <f>Resultados_Simulacion!C179</f>
        <v>1.394817</v>
      </c>
      <c r="D179" s="10">
        <f>(C179-Resultados_Simulacion!C173)/Resultados_Simulacion!C173</f>
        <v>0</v>
      </c>
      <c r="E179" s="8">
        <f>Resultados_Simulacion!E179</f>
        <v>3.515857E-2</v>
      </c>
      <c r="F179" s="10">
        <f>(E179-Resultados_Simulacion!E173)/Resultados_Simulacion!E173</f>
        <v>0</v>
      </c>
      <c r="G179" s="8">
        <f>Resultados_Simulacion!F179</f>
        <v>68.139673408057376</v>
      </c>
      <c r="H179" s="10">
        <f>(G179-Resultados_Simulacion!F173)/Resultados_Simulacion!F173</f>
        <v>-6.4946336055562923E-2</v>
      </c>
      <c r="I179" s="8">
        <f>Resultados_Simulacion!H179</f>
        <v>1.7090439999999998E-2</v>
      </c>
      <c r="J179" s="10">
        <f>(I179-Resultados_Simulacion!H173)/Resultados_Simulacion!H173</f>
        <v>0.40347402202797988</v>
      </c>
      <c r="K179" s="8">
        <f>Resultados_Simulacion!I179</f>
        <v>1.213338061436219E-2</v>
      </c>
      <c r="L179" s="10">
        <f>(K179-Resultados_Simulacion!I173)/Resultados_Simulacion!I173</f>
        <v>0.18268587784189466</v>
      </c>
    </row>
    <row r="180" spans="1:12" x14ac:dyDescent="0.3">
      <c r="A180" s="4">
        <v>198000</v>
      </c>
      <c r="B180" s="4" t="s">
        <v>27</v>
      </c>
      <c r="C180" s="8">
        <f>Resultados_Simulacion!C180</f>
        <v>1.394817</v>
      </c>
      <c r="D180" s="10">
        <f>(C180-Resultados_Simulacion!C173)/Resultados_Simulacion!C173</f>
        <v>0</v>
      </c>
      <c r="E180" s="8">
        <f>Resultados_Simulacion!E180</f>
        <v>3.515857E-2</v>
      </c>
      <c r="F180" s="10">
        <f>(E180-Resultados_Simulacion!E173)/Resultados_Simulacion!E173</f>
        <v>0</v>
      </c>
      <c r="G180" s="8">
        <f>Resultados_Simulacion!F180</f>
        <v>69.833651069494223</v>
      </c>
      <c r="H180" s="10">
        <f>(G180-Resultados_Simulacion!F173)/Resultados_Simulacion!F173</f>
        <v>-4.1700553683215173E-2</v>
      </c>
      <c r="I180" s="8">
        <f>Resultados_Simulacion!H180</f>
        <v>1.5835990000000001E-2</v>
      </c>
      <c r="J180" s="10">
        <f>(I180-Resultados_Simulacion!H173)/Resultados_Simulacion!H173</f>
        <v>0.30045806767379146</v>
      </c>
      <c r="K180" s="8">
        <f>Resultados_Simulacion!I180</f>
        <v>1.1652652870865331E-2</v>
      </c>
      <c r="L180" s="10">
        <f>(K180-Resultados_Simulacion!I173)/Resultados_Simulacion!I173</f>
        <v>0.13582755109925967</v>
      </c>
    </row>
    <row r="181" spans="1:12" x14ac:dyDescent="0.3">
      <c r="A181" s="4">
        <v>198000</v>
      </c>
      <c r="B181" s="4" t="s">
        <v>29</v>
      </c>
      <c r="C181" s="8">
        <f>Resultados_Simulacion!C181</f>
        <v>1.394817</v>
      </c>
      <c r="D181" s="10">
        <f>(C181-Resultados_Simulacion!C173)/Resultados_Simulacion!C173</f>
        <v>0</v>
      </c>
      <c r="E181" s="8">
        <f>Resultados_Simulacion!E181</f>
        <v>3.515857E-2</v>
      </c>
      <c r="F181" s="10">
        <f>(E181-Resultados_Simulacion!E173)/Resultados_Simulacion!E173</f>
        <v>0</v>
      </c>
      <c r="G181" s="8">
        <f>Resultados_Simulacion!F181</f>
        <v>70.590964534151368</v>
      </c>
      <c r="H181" s="10">
        <f>(G181-Resultados_Simulacion!F173)/Resultados_Simulacion!F173</f>
        <v>-3.1308241914394977E-2</v>
      </c>
      <c r="I181" s="8">
        <f>Resultados_Simulacion!H181</f>
        <v>1.504405E-2</v>
      </c>
      <c r="J181" s="10">
        <f>(I181-Resultados_Simulacion!H173)/Resultados_Simulacion!H173</f>
        <v>0.23542362637182146</v>
      </c>
      <c r="K181" s="8">
        <f>Resultados_Simulacion!I181</f>
        <v>1.1430346520492841E-2</v>
      </c>
      <c r="L181" s="10">
        <f>(K181-Resultados_Simulacion!I173)/Resultados_Simulacion!I173</f>
        <v>0.11415852170864604</v>
      </c>
    </row>
    <row r="182" spans="1:12" x14ac:dyDescent="0.3">
      <c r="A182" s="4">
        <v>198000</v>
      </c>
      <c r="B182" s="4" t="s">
        <v>31</v>
      </c>
      <c r="C182" s="8">
        <f>Resultados_Simulacion!C182</f>
        <v>1.394817</v>
      </c>
      <c r="D182" s="10">
        <f>(C182-Resultados_Simulacion!C173)/Resultados_Simulacion!C173</f>
        <v>0</v>
      </c>
      <c r="E182" s="8">
        <f>Resultados_Simulacion!E182</f>
        <v>3.515857E-2</v>
      </c>
      <c r="F182" s="10">
        <f>(E182-Resultados_Simulacion!E173)/Resultados_Simulacion!E173</f>
        <v>0</v>
      </c>
      <c r="G182" s="8">
        <f>Resultados_Simulacion!F182</f>
        <v>71.303731497099676</v>
      </c>
      <c r="H182" s="10">
        <f>(G182-Resultados_Simulacion!F173)/Resultados_Simulacion!F173</f>
        <v>-2.1527224088668872E-2</v>
      </c>
      <c r="I182" s="8">
        <f>Resultados_Simulacion!H182</f>
        <v>1.4263980000000001E-2</v>
      </c>
      <c r="J182" s="10">
        <f>(I182-Resultados_Simulacion!H173)/Resultados_Simulacion!H173</f>
        <v>0.17136395439360644</v>
      </c>
      <c r="K182" s="8">
        <f>Resultados_Simulacion!I182</f>
        <v>1.1226543574270021E-2</v>
      </c>
      <c r="L182" s="10">
        <f>(K182-Resultados_Simulacion!I173)/Resultados_Simulacion!I173</f>
        <v>9.4293088156269952E-2</v>
      </c>
    </row>
    <row r="183" spans="1:12" x14ac:dyDescent="0.3">
      <c r="A183" s="4">
        <v>198000</v>
      </c>
      <c r="B183" s="4" t="s">
        <v>33</v>
      </c>
      <c r="C183" s="8">
        <f>Resultados_Simulacion!C183</f>
        <v>1.394817</v>
      </c>
      <c r="D183" s="10">
        <f>(C183-Resultados_Simulacion!C173)/Resultados_Simulacion!C173</f>
        <v>0</v>
      </c>
      <c r="E183" s="8">
        <f>Resultados_Simulacion!E183</f>
        <v>3.515857E-2</v>
      </c>
      <c r="F183" s="10">
        <f>(E183-Resultados_Simulacion!E173)/Resultados_Simulacion!E173</f>
        <v>0</v>
      </c>
      <c r="G183" s="8">
        <f>Resultados_Simulacion!F183</f>
        <v>72.215691846646692</v>
      </c>
      <c r="H183" s="10">
        <f>(G183-Resultados_Simulacion!F173)/Resultados_Simulacion!F173</f>
        <v>-9.0127545650278487E-3</v>
      </c>
      <c r="I183" s="8">
        <f>Resultados_Simulacion!H183</f>
        <v>1.3160720000000001E-2</v>
      </c>
      <c r="J183" s="10">
        <f>(I183-Resultados_Simulacion!H173)/Resultados_Simulacion!H173</f>
        <v>8.0763785554033601E-2</v>
      </c>
      <c r="K183" s="8">
        <f>Resultados_Simulacion!I183</f>
        <v>1.0867586586527081E-2</v>
      </c>
      <c r="L183" s="10">
        <f>(K183-Resultados_Simulacion!I173)/Resultados_Simulacion!I173</f>
        <v>5.9304211300818435E-2</v>
      </c>
    </row>
    <row r="184" spans="1:12" x14ac:dyDescent="0.3">
      <c r="A184" s="4">
        <v>198000</v>
      </c>
      <c r="B184" s="4" t="s">
        <v>35</v>
      </c>
      <c r="C184" s="8">
        <f>Resultados_Simulacion!C184</f>
        <v>1.394817</v>
      </c>
      <c r="D184" s="10">
        <f>(C184-Resultados_Simulacion!C173)/Resultados_Simulacion!C173</f>
        <v>0</v>
      </c>
      <c r="E184" s="8">
        <f>Resultados_Simulacion!E184</f>
        <v>3.515857E-2</v>
      </c>
      <c r="F184" s="10">
        <f>(E184-Resultados_Simulacion!E173)/Resultados_Simulacion!E173</f>
        <v>0</v>
      </c>
      <c r="G184" s="8">
        <f>Resultados_Simulacion!F184</f>
        <v>72.5507328050154</v>
      </c>
      <c r="H184" s="10">
        <f>(G184-Resultados_Simulacion!F173)/Resultados_Simulacion!F173</f>
        <v>-4.4151206166228177E-3</v>
      </c>
      <c r="I184" s="8">
        <f>Resultados_Simulacion!H184</f>
        <v>1.281173E-2</v>
      </c>
      <c r="J184" s="10">
        <f>(I184-Resultados_Simulacion!H173)/Resultados_Simulacion!H173</f>
        <v>5.2104581990664527E-2</v>
      </c>
      <c r="K184" s="8">
        <f>Resultados_Simulacion!I184</f>
        <v>1.0700727676515731E-2</v>
      </c>
      <c r="L184" s="10">
        <f>(K184-Resultados_Simulacion!I173)/Resultados_Simulacion!I173</f>
        <v>4.3039850795311564E-2</v>
      </c>
    </row>
    <row r="185" spans="1:12" x14ac:dyDescent="0.3">
      <c r="A185" s="4">
        <v>198000</v>
      </c>
      <c r="B185" s="4" t="s">
        <v>37</v>
      </c>
      <c r="C185" s="8">
        <f>Resultados_Simulacion!C185</f>
        <v>1.394817</v>
      </c>
      <c r="D185" s="10">
        <f>(C185-Resultados_Simulacion!C173)/Resultados_Simulacion!C173</f>
        <v>0</v>
      </c>
      <c r="E185" s="8">
        <f>Resultados_Simulacion!E185</f>
        <v>3.515857E-2</v>
      </c>
      <c r="F185" s="10">
        <f>(E185-Resultados_Simulacion!E173)/Resultados_Simulacion!E173</f>
        <v>0</v>
      </c>
      <c r="G185" s="8">
        <f>Resultados_Simulacion!F185</f>
        <v>72.771356202066883</v>
      </c>
      <c r="H185" s="10">
        <f>(G185-Resultados_Simulacion!F173)/Resultados_Simulacion!F173</f>
        <v>-1.3875934001442069E-3</v>
      </c>
      <c r="I185" s="8">
        <f>Resultados_Simulacion!H185</f>
        <v>1.247963E-2</v>
      </c>
      <c r="J185" s="10">
        <f>(I185-Resultados_Simulacion!H173)/Resultados_Simulacion!H173</f>
        <v>2.4832392233379616E-2</v>
      </c>
      <c r="K185" s="8">
        <f>Resultados_Simulacion!I185</f>
        <v>1.0539783444045509E-2</v>
      </c>
      <c r="L185" s="10">
        <f>(K185-Resultados_Simulacion!I173)/Resultados_Simulacion!I173</f>
        <v>2.73520159772624E-2</v>
      </c>
    </row>
    <row r="186" spans="1:12" x14ac:dyDescent="0.3">
      <c r="A186" s="4">
        <v>198000</v>
      </c>
      <c r="B186" s="4" t="s">
        <v>39</v>
      </c>
      <c r="C186" s="8">
        <f>Resultados_Simulacion!C186</f>
        <v>1.394817</v>
      </c>
      <c r="D186" s="10">
        <f>(C186-Resultados_Simulacion!C173)/Resultados_Simulacion!C173</f>
        <v>0</v>
      </c>
      <c r="E186" s="8">
        <f>Resultados_Simulacion!E186</f>
        <v>3.515857E-2</v>
      </c>
      <c r="F186" s="10">
        <f>(E186-Resultados_Simulacion!E173)/Resultados_Simulacion!E173</f>
        <v>0</v>
      </c>
      <c r="G186" s="8">
        <f>Resultados_Simulacion!F186</f>
        <v>72.872473565438469</v>
      </c>
      <c r="H186" s="10">
        <f>(G186-Resultados_Simulacion!F173)/Resultados_Simulacion!F173</f>
        <v>0</v>
      </c>
      <c r="I186" s="8">
        <f>Resultados_Simulacion!H186</f>
        <v>1.2177240000000001E-2</v>
      </c>
      <c r="J186" s="10">
        <f>(I186-Resultados_Simulacion!H173)/Resultados_Simulacion!H173</f>
        <v>0</v>
      </c>
      <c r="K186" s="8">
        <f>Resultados_Simulacion!I186</f>
        <v>1.023909820823053E-2</v>
      </c>
      <c r="L186" s="10">
        <f>(K186-Resultados_Simulacion!I173)/Resultados_Simulacion!I173</f>
        <v>-1.9568958072237125E-3</v>
      </c>
    </row>
    <row r="187" spans="1:12" x14ac:dyDescent="0.3">
      <c r="A187" s="4">
        <v>198000</v>
      </c>
      <c r="B187" s="4" t="s">
        <v>41</v>
      </c>
      <c r="C187" s="8">
        <f>Resultados_Simulacion!C187</f>
        <v>1.394817</v>
      </c>
      <c r="D187" s="10">
        <f>(C187-Resultados_Simulacion!C173)/Resultados_Simulacion!C173</f>
        <v>0</v>
      </c>
      <c r="E187" s="8">
        <f>Resultados_Simulacion!E187</f>
        <v>3.515857E-2</v>
      </c>
      <c r="F187" s="10">
        <f>(E187-Resultados_Simulacion!E173)/Resultados_Simulacion!E173</f>
        <v>0</v>
      </c>
      <c r="G187" s="8">
        <f>Resultados_Simulacion!F187</f>
        <v>72.872473565438469</v>
      </c>
      <c r="H187" s="10">
        <f>(G187-Resultados_Simulacion!F173)/Resultados_Simulacion!F173</f>
        <v>0</v>
      </c>
      <c r="I187" s="8">
        <f>Resultados_Simulacion!H187</f>
        <v>1.2177240000000001E-2</v>
      </c>
      <c r="J187" s="10">
        <f>(I187-Resultados_Simulacion!H173)/Resultados_Simulacion!H173</f>
        <v>0</v>
      </c>
      <c r="K187" s="8">
        <f>Resultados_Simulacion!I187</f>
        <v>1.010564285967609E-2</v>
      </c>
      <c r="L187" s="10">
        <f>(K187-Resultados_Simulacion!I173)/Resultados_Simulacion!I173</f>
        <v>-1.4965286549617035E-2</v>
      </c>
    </row>
    <row r="188" spans="1:12" x14ac:dyDescent="0.3">
      <c r="A188" s="4">
        <v>198000</v>
      </c>
      <c r="B188" s="4" t="s">
        <v>43</v>
      </c>
      <c r="C188" s="8">
        <f>Resultados_Simulacion!C188</f>
        <v>1.394817</v>
      </c>
      <c r="D188" s="10">
        <f>(C188-Resultados_Simulacion!C173)/Resultados_Simulacion!C173</f>
        <v>0</v>
      </c>
      <c r="E188" s="8">
        <f>Resultados_Simulacion!E188</f>
        <v>3.515857E-2</v>
      </c>
      <c r="F188" s="10">
        <f>(E188-Resultados_Simulacion!E173)/Resultados_Simulacion!E173</f>
        <v>0</v>
      </c>
      <c r="G188" s="8">
        <f>Resultados_Simulacion!F188</f>
        <v>72.872473565438469</v>
      </c>
      <c r="H188" s="10">
        <f>(G188-Resultados_Simulacion!F173)/Resultados_Simulacion!F173</f>
        <v>0</v>
      </c>
      <c r="I188" s="8">
        <f>Resultados_Simulacion!H188</f>
        <v>1.2177240000000001E-2</v>
      </c>
      <c r="J188" s="10">
        <f>(I188-Resultados_Simulacion!H173)/Resultados_Simulacion!H173</f>
        <v>0</v>
      </c>
      <c r="K188" s="8">
        <f>Resultados_Simulacion!I188</f>
        <v>9.9931945882999178E-3</v>
      </c>
      <c r="L188" s="10">
        <f>(K188-Resultados_Simulacion!I173)/Resultados_Simulacion!I173</f>
        <v>-2.5926039102529778E-2</v>
      </c>
    </row>
    <row r="189" spans="1:12" x14ac:dyDescent="0.3">
      <c r="A189" s="4">
        <v>198000</v>
      </c>
      <c r="B189" s="4" t="s">
        <v>45</v>
      </c>
      <c r="C189" s="8">
        <f>Resultados_Simulacion!C189</f>
        <v>1.394817</v>
      </c>
      <c r="D189" s="10">
        <f>(C189-Resultados_Simulacion!C173)/Resultados_Simulacion!C173</f>
        <v>0</v>
      </c>
      <c r="E189" s="8">
        <f>Resultados_Simulacion!E189</f>
        <v>3.515857E-2</v>
      </c>
      <c r="F189" s="10">
        <f>(E189-Resultados_Simulacion!E173)/Resultados_Simulacion!E173</f>
        <v>0</v>
      </c>
      <c r="G189" s="8">
        <f>Resultados_Simulacion!F189</f>
        <v>72.872473565438469</v>
      </c>
      <c r="H189" s="10">
        <f>(G189-Resultados_Simulacion!F173)/Resultados_Simulacion!F173</f>
        <v>0</v>
      </c>
      <c r="I189" s="8">
        <f>Resultados_Simulacion!H189</f>
        <v>1.2177240000000001E-2</v>
      </c>
      <c r="J189" s="10">
        <f>(I189-Resultados_Simulacion!H173)/Resultados_Simulacion!H173</f>
        <v>0</v>
      </c>
      <c r="K189" s="8">
        <f>Resultados_Simulacion!I189</f>
        <v>9.8271928258473439E-3</v>
      </c>
      <c r="L189" s="10">
        <f>(K189-Resultados_Simulacion!I173)/Resultados_Simulacion!I173</f>
        <v>-4.2106850237485213E-2</v>
      </c>
    </row>
    <row r="190" spans="1:12" x14ac:dyDescent="0.3">
      <c r="A190" s="4">
        <v>198000</v>
      </c>
      <c r="B190" s="4" t="s">
        <v>47</v>
      </c>
      <c r="C190" s="8">
        <f>Resultados_Simulacion!C190</f>
        <v>1.394817</v>
      </c>
      <c r="D190" s="10">
        <f>(C190-Resultados_Simulacion!C173)/Resultados_Simulacion!C173</f>
        <v>0</v>
      </c>
      <c r="E190" s="8">
        <f>Resultados_Simulacion!E190</f>
        <v>3.515857E-2</v>
      </c>
      <c r="F190" s="10">
        <f>(E190-Resultados_Simulacion!E173)/Resultados_Simulacion!E173</f>
        <v>0</v>
      </c>
      <c r="G190" s="8">
        <f>Resultados_Simulacion!F190</f>
        <v>72.872473565438469</v>
      </c>
      <c r="H190" s="10">
        <f>(G190-Resultados_Simulacion!F173)/Resultados_Simulacion!F173</f>
        <v>0</v>
      </c>
      <c r="I190" s="8">
        <f>Resultados_Simulacion!H190</f>
        <v>1.2177240000000001E-2</v>
      </c>
      <c r="J190" s="10">
        <f>(I190-Resultados_Simulacion!H173)/Resultados_Simulacion!H173</f>
        <v>0</v>
      </c>
      <c r="K190" s="8">
        <f>Resultados_Simulacion!I190</f>
        <v>9.7842147642705438E-3</v>
      </c>
      <c r="L190" s="10">
        <f>(K190-Resultados_Simulacion!I173)/Resultados_Simulacion!I173</f>
        <v>-4.6296082249521017E-2</v>
      </c>
    </row>
    <row r="191" spans="1:12" x14ac:dyDescent="0.3">
      <c r="A191" s="4">
        <v>198000</v>
      </c>
      <c r="B191" s="4" t="s">
        <v>49</v>
      </c>
      <c r="C191" s="8">
        <f>Resultados_Simulacion!C191</f>
        <v>1.394817</v>
      </c>
      <c r="D191" s="10">
        <f>(C191-Resultados_Simulacion!C173)/Resultados_Simulacion!C173</f>
        <v>0</v>
      </c>
      <c r="E191" s="8">
        <f>Resultados_Simulacion!E191</f>
        <v>3.515857E-2</v>
      </c>
      <c r="F191" s="10">
        <f>(E191-Resultados_Simulacion!E173)/Resultados_Simulacion!E173</f>
        <v>0</v>
      </c>
      <c r="G191" s="8">
        <f>Resultados_Simulacion!F191</f>
        <v>72.872473565438469</v>
      </c>
      <c r="H191" s="10">
        <f>(G191-Resultados_Simulacion!F173)/Resultados_Simulacion!F173</f>
        <v>0</v>
      </c>
      <c r="I191" s="8">
        <f>Resultados_Simulacion!H191</f>
        <v>1.2177240000000001E-2</v>
      </c>
      <c r="J191" s="10">
        <f>(I191-Resultados_Simulacion!H173)/Resultados_Simulacion!H173</f>
        <v>0</v>
      </c>
      <c r="K191" s="8">
        <f>Resultados_Simulacion!I191</f>
        <v>9.7782613301037637E-3</v>
      </c>
      <c r="L191" s="10">
        <f>(K191-Resultados_Simulacion!I173)/Resultados_Simulacion!I173</f>
        <v>-4.6876385689881069E-2</v>
      </c>
    </row>
    <row r="192" spans="1:12" x14ac:dyDescent="0.3">
      <c r="A192" s="12">
        <v>231000</v>
      </c>
      <c r="B192" s="12" t="s">
        <v>13</v>
      </c>
      <c r="C192" s="13">
        <f>Resultados_Simulacion!C192</f>
        <v>1.3998889999999999</v>
      </c>
      <c r="D192" s="14">
        <f>(C192-Resultados_Simulacion!C192)/Resultados_Simulacion!C192</f>
        <v>0</v>
      </c>
      <c r="E192" s="13">
        <f>Resultados_Simulacion!E192</f>
        <v>3.2241390000000002E-2</v>
      </c>
      <c r="F192" s="14">
        <f>(E192-Resultados_Simulacion!E192)/Resultados_Simulacion!E192</f>
        <v>0</v>
      </c>
      <c r="G192" s="13">
        <f>Resultados_Simulacion!F192</f>
        <v>77.350441576664494</v>
      </c>
      <c r="H192" s="14">
        <f>(G192-Resultados_Simulacion!F192)/Resultados_Simulacion!F192</f>
        <v>0</v>
      </c>
      <c r="I192" s="13">
        <f>Resultados_Simulacion!H192</f>
        <v>1.1174730000000001E-2</v>
      </c>
      <c r="J192" s="14">
        <f>(I192-Resultados_Simulacion!H192)/Resultados_Simulacion!H192</f>
        <v>0</v>
      </c>
      <c r="K192" s="13">
        <f>Resultados_Simulacion!I192</f>
        <v>9.3691947383627606E-3</v>
      </c>
      <c r="L192" s="14">
        <f>(K192-Resultados_Simulacion!I192)/Resultados_Simulacion!I192</f>
        <v>0</v>
      </c>
    </row>
    <row r="193" spans="1:12" x14ac:dyDescent="0.3">
      <c r="A193" s="4">
        <v>231000</v>
      </c>
      <c r="B193" s="4" t="s">
        <v>15</v>
      </c>
      <c r="C193" s="8">
        <f>Resultados_Simulacion!C193</f>
        <v>1.3998109999999999</v>
      </c>
      <c r="D193" s="10">
        <f>(C193-Resultados_Simulacion!C192)/Resultados_Simulacion!C192</f>
        <v>-5.5718703411500837E-5</v>
      </c>
      <c r="E193" s="8">
        <f>Resultados_Simulacion!E193</f>
        <v>3.2247570000000003E-2</v>
      </c>
      <c r="F193" s="10">
        <f>(E193-Resultados_Simulacion!E192)/Resultados_Simulacion!E192</f>
        <v>1.9167908083371908E-4</v>
      </c>
      <c r="G193" s="8">
        <f>Resultados_Simulacion!F193</f>
        <v>55.980741044416114</v>
      </c>
      <c r="H193" s="10">
        <f>(G193-Resultados_Simulacion!F192)/Resultados_Simulacion!F192</f>
        <v>-0.27627121573789837</v>
      </c>
      <c r="I193" s="8">
        <f>Resultados_Simulacion!H193</f>
        <v>1.946523E-2</v>
      </c>
      <c r="J193" s="10">
        <f>(I193-Resultados_Simulacion!H192)/Resultados_Simulacion!H192</f>
        <v>0.74189711966195149</v>
      </c>
      <c r="K193" s="8">
        <f>Resultados_Simulacion!I193</f>
        <v>1.3467601435632951E-2</v>
      </c>
      <c r="L193" s="10">
        <f>(K193-Resultados_Simulacion!I192)/Resultados_Simulacion!I192</f>
        <v>0.43743425253922885</v>
      </c>
    </row>
    <row r="194" spans="1:12" x14ac:dyDescent="0.3">
      <c r="A194" s="4">
        <v>231000</v>
      </c>
      <c r="B194" s="4" t="s">
        <v>17</v>
      </c>
      <c r="C194" s="8">
        <f>Resultados_Simulacion!C194</f>
        <v>1.3998889999999999</v>
      </c>
      <c r="D194" s="10">
        <f>(C194-Resultados_Simulacion!C192)/Resultados_Simulacion!C192</f>
        <v>0</v>
      </c>
      <c r="E194" s="8">
        <f>Resultados_Simulacion!E194</f>
        <v>3.2241390000000002E-2</v>
      </c>
      <c r="F194" s="10">
        <f>(E194-Resultados_Simulacion!E192)/Resultados_Simulacion!E192</f>
        <v>0</v>
      </c>
      <c r="G194" s="8">
        <f>Resultados_Simulacion!F194</f>
        <v>60.197467488381022</v>
      </c>
      <c r="H194" s="10">
        <f>(G194-Resultados_Simulacion!F192)/Resultados_Simulacion!F192</f>
        <v>-0.22175664079800517</v>
      </c>
      <c r="I194" s="8">
        <f>Resultados_Simulacion!H194</f>
        <v>1.9059340000000001E-2</v>
      </c>
      <c r="J194" s="10">
        <f>(I194-Resultados_Simulacion!H192)/Resultados_Simulacion!H192</f>
        <v>0.70557498928385742</v>
      </c>
      <c r="K194" s="8">
        <f>Resultados_Simulacion!I194</f>
        <v>1.311559987325729E-2</v>
      </c>
      <c r="L194" s="10">
        <f>(K194-Resultados_Simulacion!I192)/Resultados_Simulacion!I192</f>
        <v>0.39986415476611198</v>
      </c>
    </row>
    <row r="195" spans="1:12" x14ac:dyDescent="0.3">
      <c r="A195" s="4">
        <v>231000</v>
      </c>
      <c r="B195" s="4" t="s">
        <v>19</v>
      </c>
      <c r="C195" s="8">
        <f>Resultados_Simulacion!C195</f>
        <v>1.3998889999999999</v>
      </c>
      <c r="D195" s="10">
        <f>(C195-Resultados_Simulacion!C192)/Resultados_Simulacion!C192</f>
        <v>0</v>
      </c>
      <c r="E195" s="8">
        <f>Resultados_Simulacion!E195</f>
        <v>3.2241390000000002E-2</v>
      </c>
      <c r="F195" s="10">
        <f>(E195-Resultados_Simulacion!E192)/Resultados_Simulacion!E192</f>
        <v>0</v>
      </c>
      <c r="G195" s="8">
        <f>Resultados_Simulacion!F195</f>
        <v>64.55570770951573</v>
      </c>
      <c r="H195" s="10">
        <f>(G195-Resultados_Simulacion!F192)/Resultados_Simulacion!F192</f>
        <v>-0.16541255106433356</v>
      </c>
      <c r="I195" s="8">
        <f>Resultados_Simulacion!H195</f>
        <v>1.8336689999999999E-2</v>
      </c>
      <c r="J195" s="10">
        <f>(I195-Resultados_Simulacion!H192)/Resultados_Simulacion!H192</f>
        <v>0.64090676016333259</v>
      </c>
      <c r="K195" s="8">
        <f>Resultados_Simulacion!I195</f>
        <v>1.271228046894793E-2</v>
      </c>
      <c r="L195" s="10">
        <f>(K195-Resultados_Simulacion!I192)/Resultados_Simulacion!I192</f>
        <v>0.35681676215957958</v>
      </c>
    </row>
    <row r="196" spans="1:12" x14ac:dyDescent="0.3">
      <c r="A196" s="4">
        <v>231000</v>
      </c>
      <c r="B196" s="4" t="s">
        <v>21</v>
      </c>
      <c r="C196" s="8">
        <f>Resultados_Simulacion!C196</f>
        <v>1.3998889999999999</v>
      </c>
      <c r="D196" s="10">
        <f>(C196-Resultados_Simulacion!C192)/Resultados_Simulacion!C192</f>
        <v>0</v>
      </c>
      <c r="E196" s="8">
        <f>Resultados_Simulacion!E196</f>
        <v>3.2241390000000002E-2</v>
      </c>
      <c r="F196" s="10">
        <f>(E196-Resultados_Simulacion!E192)/Resultados_Simulacion!E192</f>
        <v>0</v>
      </c>
      <c r="G196" s="8">
        <f>Resultados_Simulacion!F196</f>
        <v>68.401725183652829</v>
      </c>
      <c r="H196" s="10">
        <f>(G196-Resultados_Simulacion!F192)/Resultados_Simulacion!F192</f>
        <v>-0.11569056634463175</v>
      </c>
      <c r="I196" s="8">
        <f>Resultados_Simulacion!H196</f>
        <v>1.782303E-2</v>
      </c>
      <c r="J196" s="10">
        <f>(I196-Resultados_Simulacion!H192)/Resultados_Simulacion!H192</f>
        <v>0.59494054889916792</v>
      </c>
      <c r="K196" s="8">
        <f>Resultados_Simulacion!I196</f>
        <v>1.230108147720145E-2</v>
      </c>
      <c r="L196" s="10">
        <f>(K196-Resultados_Simulacion!I192)/Resultados_Simulacion!I192</f>
        <v>0.31292835944949399</v>
      </c>
    </row>
    <row r="197" spans="1:12" x14ac:dyDescent="0.3">
      <c r="A197" s="4">
        <v>231000</v>
      </c>
      <c r="B197" s="4" t="s">
        <v>23</v>
      </c>
      <c r="C197" s="8">
        <f>Resultados_Simulacion!C197</f>
        <v>1.3998889999999999</v>
      </c>
      <c r="D197" s="10">
        <f>(C197-Resultados_Simulacion!C192)/Resultados_Simulacion!C192</f>
        <v>0</v>
      </c>
      <c r="E197" s="8">
        <f>Resultados_Simulacion!E197</f>
        <v>3.2241390000000002E-2</v>
      </c>
      <c r="F197" s="10">
        <f>(E197-Resultados_Simulacion!E192)/Resultados_Simulacion!E192</f>
        <v>0</v>
      </c>
      <c r="G197" s="8">
        <f>Resultados_Simulacion!F197</f>
        <v>70.66658622545836</v>
      </c>
      <c r="H197" s="10">
        <f>(G197-Resultados_Simulacion!F192)/Resultados_Simulacion!F192</f>
        <v>-8.6410047764000825E-2</v>
      </c>
      <c r="I197" s="8">
        <f>Resultados_Simulacion!H197</f>
        <v>1.7072509999999999E-2</v>
      </c>
      <c r="J197" s="10">
        <f>(I197-Resultados_Simulacion!H192)/Resultados_Simulacion!H192</f>
        <v>0.52777829978889856</v>
      </c>
      <c r="K197" s="8">
        <f>Resultados_Simulacion!I197</f>
        <v>1.1926281590748459E-2</v>
      </c>
      <c r="L197" s="10">
        <f>(K197-Resultados_Simulacion!I192)/Resultados_Simulacion!I192</f>
        <v>0.27292493365684295</v>
      </c>
    </row>
    <row r="198" spans="1:12" x14ac:dyDescent="0.3">
      <c r="A198" s="4">
        <v>231000</v>
      </c>
      <c r="B198" s="4" t="s">
        <v>25</v>
      </c>
      <c r="C198" s="8">
        <f>Resultados_Simulacion!C198</f>
        <v>1.3998889999999999</v>
      </c>
      <c r="D198" s="10">
        <f>(C198-Resultados_Simulacion!C192)/Resultados_Simulacion!C192</f>
        <v>0</v>
      </c>
      <c r="E198" s="8">
        <f>Resultados_Simulacion!E198</f>
        <v>3.2241390000000002E-2</v>
      </c>
      <c r="F198" s="10">
        <f>(E198-Resultados_Simulacion!E192)/Resultados_Simulacion!E192</f>
        <v>0</v>
      </c>
      <c r="G198" s="8">
        <f>Resultados_Simulacion!F198</f>
        <v>72.042223829381257</v>
      </c>
      <c r="H198" s="10">
        <f>(G198-Resultados_Simulacion!F192)/Resultados_Simulacion!F192</f>
        <v>-6.8625564884747206E-2</v>
      </c>
      <c r="I198" s="8">
        <f>Resultados_Simulacion!H198</f>
        <v>1.6246750000000001E-2</v>
      </c>
      <c r="J198" s="10">
        <f>(I198-Resultados_Simulacion!H192)/Resultados_Simulacion!H192</f>
        <v>0.45388300209490517</v>
      </c>
      <c r="K198" s="8">
        <f>Resultados_Simulacion!I198</f>
        <v>1.151049007396243E-2</v>
      </c>
      <c r="L198" s="10">
        <f>(K198-Resultados_Simulacion!I192)/Resultados_Simulacion!I192</f>
        <v>0.2285463580804869</v>
      </c>
    </row>
    <row r="199" spans="1:12" x14ac:dyDescent="0.3">
      <c r="A199" s="4">
        <v>231000</v>
      </c>
      <c r="B199" s="4" t="s">
        <v>27</v>
      </c>
      <c r="C199" s="8">
        <f>Resultados_Simulacion!C199</f>
        <v>1.3998889999999999</v>
      </c>
      <c r="D199" s="10">
        <f>(C199-Resultados_Simulacion!C192)/Resultados_Simulacion!C192</f>
        <v>0</v>
      </c>
      <c r="E199" s="8">
        <f>Resultados_Simulacion!E199</f>
        <v>3.2241390000000002E-2</v>
      </c>
      <c r="F199" s="10">
        <f>(E199-Resultados_Simulacion!E192)/Resultados_Simulacion!E192</f>
        <v>0</v>
      </c>
      <c r="G199" s="8">
        <f>Resultados_Simulacion!F199</f>
        <v>73.73046171576749</v>
      </c>
      <c r="H199" s="10">
        <f>(G199-Resultados_Simulacion!F192)/Resultados_Simulacion!F192</f>
        <v>-4.6799731030741774E-2</v>
      </c>
      <c r="I199" s="8">
        <f>Resultados_Simulacion!H199</f>
        <v>1.471598E-2</v>
      </c>
      <c r="J199" s="10">
        <f>(I199-Resultados_Simulacion!H192)/Resultados_Simulacion!H192</f>
        <v>0.31689803691006396</v>
      </c>
      <c r="K199" s="8">
        <f>Resultados_Simulacion!I199</f>
        <v>1.103941580052945E-2</v>
      </c>
      <c r="L199" s="10">
        <f>(K199-Resultados_Simulacion!I192)/Resultados_Simulacion!I192</f>
        <v>0.17826730138587726</v>
      </c>
    </row>
    <row r="200" spans="1:12" x14ac:dyDescent="0.3">
      <c r="A200" s="4">
        <v>231000</v>
      </c>
      <c r="B200" s="4" t="s">
        <v>29</v>
      </c>
      <c r="C200" s="8">
        <f>Resultados_Simulacion!C200</f>
        <v>1.3998889999999999</v>
      </c>
      <c r="D200" s="10">
        <f>(C200-Resultados_Simulacion!C192)/Resultados_Simulacion!C192</f>
        <v>0</v>
      </c>
      <c r="E200" s="8">
        <f>Resultados_Simulacion!E200</f>
        <v>3.2241390000000002E-2</v>
      </c>
      <c r="F200" s="10">
        <f>(E200-Resultados_Simulacion!E192)/Resultados_Simulacion!E192</f>
        <v>0</v>
      </c>
      <c r="G200" s="8">
        <f>Resultados_Simulacion!F200</f>
        <v>74.495604394030735</v>
      </c>
      <c r="H200" s="10">
        <f>(G200-Resultados_Simulacion!F192)/Resultados_Simulacion!F192</f>
        <v>-3.6907833031621914E-2</v>
      </c>
      <c r="I200" s="8">
        <f>Resultados_Simulacion!H200</f>
        <v>1.396622E-2</v>
      </c>
      <c r="J200" s="10">
        <f>(I200-Resultados_Simulacion!H192)/Resultados_Simulacion!H192</f>
        <v>0.2498037983915494</v>
      </c>
      <c r="K200" s="8">
        <f>Resultados_Simulacion!I200</f>
        <v>1.0821612973245629E-2</v>
      </c>
      <c r="L200" s="10">
        <f>(K200-Resultados_Simulacion!I192)/Resultados_Simulacion!I192</f>
        <v>0.15502060480564572</v>
      </c>
    </row>
    <row r="201" spans="1:12" x14ac:dyDescent="0.3">
      <c r="A201" s="4">
        <v>231000</v>
      </c>
      <c r="B201" s="4" t="s">
        <v>31</v>
      </c>
      <c r="C201" s="8">
        <f>Resultados_Simulacion!C201</f>
        <v>1.3998889999999999</v>
      </c>
      <c r="D201" s="10">
        <f>(C201-Resultados_Simulacion!C192)/Resultados_Simulacion!C192</f>
        <v>0</v>
      </c>
      <c r="E201" s="8">
        <f>Resultados_Simulacion!E201</f>
        <v>3.2241390000000002E-2</v>
      </c>
      <c r="F201" s="10">
        <f>(E201-Resultados_Simulacion!E192)/Resultados_Simulacion!E192</f>
        <v>0</v>
      </c>
      <c r="G201" s="8">
        <f>Resultados_Simulacion!F201</f>
        <v>75.25416294198881</v>
      </c>
      <c r="H201" s="10">
        <f>(G201-Resultados_Simulacion!F192)/Resultados_Simulacion!F192</f>
        <v>-2.7101055817477081E-2</v>
      </c>
      <c r="I201" s="8">
        <f>Resultados_Simulacion!H201</f>
        <v>1.3222619999999999E-2</v>
      </c>
      <c r="J201" s="10">
        <f>(I201-Resultados_Simulacion!H192)/Resultados_Simulacion!H192</f>
        <v>0.18326080361673153</v>
      </c>
      <c r="K201" s="8">
        <f>Resultados_Simulacion!I201</f>
        <v>1.062106702915497E-2</v>
      </c>
      <c r="L201" s="10">
        <f>(K201-Resultados_Simulacion!I192)/Resultados_Simulacion!I192</f>
        <v>0.13361578297293136</v>
      </c>
    </row>
    <row r="202" spans="1:12" x14ac:dyDescent="0.3">
      <c r="A202" s="4">
        <v>231000</v>
      </c>
      <c r="B202" s="4" t="s">
        <v>33</v>
      </c>
      <c r="C202" s="8">
        <f>Resultados_Simulacion!C202</f>
        <v>1.3998889999999999</v>
      </c>
      <c r="D202" s="10">
        <f>(C202-Resultados_Simulacion!C192)/Resultados_Simulacion!C192</f>
        <v>0</v>
      </c>
      <c r="E202" s="8">
        <f>Resultados_Simulacion!E202</f>
        <v>3.2241390000000002E-2</v>
      </c>
      <c r="F202" s="10">
        <f>(E202-Resultados_Simulacion!E192)/Resultados_Simulacion!E192</f>
        <v>0</v>
      </c>
      <c r="G202" s="8">
        <f>Resultados_Simulacion!F202</f>
        <v>76.317042620566596</v>
      </c>
      <c r="H202" s="10">
        <f>(G202-Resultados_Simulacion!F192)/Resultados_Simulacion!F192</f>
        <v>-1.3359961947646583E-2</v>
      </c>
      <c r="I202" s="8">
        <f>Resultados_Simulacion!H202</f>
        <v>1.248646E-2</v>
      </c>
      <c r="J202" s="10">
        <f>(I202-Resultados_Simulacion!H192)/Resultados_Simulacion!H192</f>
        <v>0.11738359674014484</v>
      </c>
      <c r="K202" s="8">
        <f>Resultados_Simulacion!I202</f>
        <v>1.026524550428398E-2</v>
      </c>
      <c r="L202" s="10">
        <f>(K202-Resultados_Simulacion!I192)/Resultados_Simulacion!I192</f>
        <v>9.5637970065056171E-2</v>
      </c>
    </row>
    <row r="203" spans="1:12" x14ac:dyDescent="0.3">
      <c r="A203" s="4">
        <v>231000</v>
      </c>
      <c r="B203" s="4" t="s">
        <v>35</v>
      </c>
      <c r="C203" s="8">
        <f>Resultados_Simulacion!C203</f>
        <v>1.3998889999999999</v>
      </c>
      <c r="D203" s="10">
        <f>(C203-Resultados_Simulacion!C192)/Resultados_Simulacion!C192</f>
        <v>0</v>
      </c>
      <c r="E203" s="8">
        <f>Resultados_Simulacion!E203</f>
        <v>3.2241390000000002E-2</v>
      </c>
      <c r="F203" s="10">
        <f>(E203-Resultados_Simulacion!E192)/Resultados_Simulacion!E192</f>
        <v>0</v>
      </c>
      <c r="G203" s="8">
        <f>Resultados_Simulacion!F203</f>
        <v>76.740726187532388</v>
      </c>
      <c r="H203" s="10">
        <f>(G203-Resultados_Simulacion!F192)/Resultados_Simulacion!F192</f>
        <v>-7.8825068959405657E-3</v>
      </c>
      <c r="I203" s="8">
        <f>Resultados_Simulacion!H203</f>
        <v>1.1808519999999999E-2</v>
      </c>
      <c r="J203" s="10">
        <f>(I203-Resultados_Simulacion!H192)/Resultados_Simulacion!H192</f>
        <v>5.6716359142457907E-2</v>
      </c>
      <c r="K203" s="8">
        <f>Resultados_Simulacion!I203</f>
        <v>1.0098523719681391E-2</v>
      </c>
      <c r="L203" s="10">
        <f>(K203-Resultados_Simulacion!I192)/Resultados_Simulacion!I192</f>
        <v>7.7843294080797196E-2</v>
      </c>
    </row>
    <row r="204" spans="1:12" x14ac:dyDescent="0.3">
      <c r="A204" s="4">
        <v>231000</v>
      </c>
      <c r="B204" s="4" t="s">
        <v>37</v>
      </c>
      <c r="C204" s="8">
        <f>Resultados_Simulacion!C204</f>
        <v>1.3998889999999999</v>
      </c>
      <c r="D204" s="10">
        <f>(C204-Resultados_Simulacion!C192)/Resultados_Simulacion!C192</f>
        <v>0</v>
      </c>
      <c r="E204" s="8">
        <f>Resultados_Simulacion!E204</f>
        <v>3.2241390000000002E-2</v>
      </c>
      <c r="F204" s="10">
        <f>(E204-Resultados_Simulacion!E192)/Resultados_Simulacion!E192</f>
        <v>0</v>
      </c>
      <c r="G204" s="8">
        <f>Resultados_Simulacion!F204</f>
        <v>77.054296033778158</v>
      </c>
      <c r="H204" s="10">
        <f>(G204-Resultados_Simulacion!F192)/Resultados_Simulacion!F192</f>
        <v>-3.8286212315002325E-3</v>
      </c>
      <c r="I204" s="8">
        <f>Resultados_Simulacion!H204</f>
        <v>1.1794600000000001E-2</v>
      </c>
      <c r="J204" s="10">
        <f>(I204-Resultados_Simulacion!H192)/Resultados_Simulacion!H192</f>
        <v>5.54706914618966E-2</v>
      </c>
      <c r="K204" s="8">
        <f>Resultados_Simulacion!I204</f>
        <v>9.9367925655189926E-3</v>
      </c>
      <c r="L204" s="10">
        <f>(K204-Resultados_Simulacion!I192)/Resultados_Simulacion!I192</f>
        <v>6.0581281850420582E-2</v>
      </c>
    </row>
    <row r="205" spans="1:12" x14ac:dyDescent="0.3">
      <c r="A205" s="4">
        <v>231000</v>
      </c>
      <c r="B205" s="4" t="s">
        <v>39</v>
      </c>
      <c r="C205" s="8">
        <f>Resultados_Simulacion!C205</f>
        <v>1.3998889999999999</v>
      </c>
      <c r="D205" s="10">
        <f>(C205-Resultados_Simulacion!C192)/Resultados_Simulacion!C192</f>
        <v>0</v>
      </c>
      <c r="E205" s="8">
        <f>Resultados_Simulacion!E205</f>
        <v>3.2241390000000002E-2</v>
      </c>
      <c r="F205" s="10">
        <f>(E205-Resultados_Simulacion!E192)/Resultados_Simulacion!E192</f>
        <v>0</v>
      </c>
      <c r="G205" s="8">
        <f>Resultados_Simulacion!F205</f>
        <v>77.350294190026617</v>
      </c>
      <c r="H205" s="10">
        <f>(G205-Resultados_Simulacion!F192)/Resultados_Simulacion!F192</f>
        <v>-1.9054401613377932E-6</v>
      </c>
      <c r="I205" s="8">
        <f>Resultados_Simulacion!H205</f>
        <v>1.1174750000000001E-2</v>
      </c>
      <c r="J205" s="10">
        <f>(I205-Resultados_Simulacion!H192)/Resultados_Simulacion!H192</f>
        <v>1.7897524145890972E-6</v>
      </c>
      <c r="K205" s="8">
        <f>Resultados_Simulacion!I205</f>
        <v>9.6317169017366595E-3</v>
      </c>
      <c r="L205" s="10">
        <f>(K205-Resultados_Simulacion!I192)/Resultados_Simulacion!I192</f>
        <v>2.8019714682520718E-2</v>
      </c>
    </row>
    <row r="206" spans="1:12" x14ac:dyDescent="0.3">
      <c r="A206" s="4">
        <v>231000</v>
      </c>
      <c r="B206" s="4" t="s">
        <v>41</v>
      </c>
      <c r="C206" s="8">
        <f>Resultados_Simulacion!C206</f>
        <v>1.3998889999999999</v>
      </c>
      <c r="D206" s="10">
        <f>(C206-Resultados_Simulacion!C192)/Resultados_Simulacion!C192</f>
        <v>0</v>
      </c>
      <c r="E206" s="8">
        <f>Resultados_Simulacion!E206</f>
        <v>3.2241390000000002E-2</v>
      </c>
      <c r="F206" s="10">
        <f>(E206-Resultados_Simulacion!E192)/Resultados_Simulacion!E192</f>
        <v>0</v>
      </c>
      <c r="G206" s="8">
        <f>Resultados_Simulacion!F206</f>
        <v>77.350441576664494</v>
      </c>
      <c r="H206" s="10">
        <f>(G206-Resultados_Simulacion!F192)/Resultados_Simulacion!F192</f>
        <v>0</v>
      </c>
      <c r="I206" s="8">
        <f>Resultados_Simulacion!H206</f>
        <v>1.1174730000000001E-2</v>
      </c>
      <c r="J206" s="10">
        <f>(I206-Resultados_Simulacion!H192)/Resultados_Simulacion!H192</f>
        <v>0</v>
      </c>
      <c r="K206" s="8">
        <f>Resultados_Simulacion!I206</f>
        <v>9.4951052030102373E-3</v>
      </c>
      <c r="L206" s="10">
        <f>(K206-Resultados_Simulacion!I192)/Resultados_Simulacion!I192</f>
        <v>1.3438771224588629E-2</v>
      </c>
    </row>
    <row r="207" spans="1:12" x14ac:dyDescent="0.3">
      <c r="A207" s="4">
        <v>231000</v>
      </c>
      <c r="B207" s="4" t="s">
        <v>43</v>
      </c>
      <c r="C207" s="8">
        <f>Resultados_Simulacion!C207</f>
        <v>1.3998889999999999</v>
      </c>
      <c r="D207" s="10">
        <f>(C207-Resultados_Simulacion!C192)/Resultados_Simulacion!C192</f>
        <v>0</v>
      </c>
      <c r="E207" s="8">
        <f>Resultados_Simulacion!E207</f>
        <v>3.2241390000000002E-2</v>
      </c>
      <c r="F207" s="10">
        <f>(E207-Resultados_Simulacion!E192)/Resultados_Simulacion!E192</f>
        <v>0</v>
      </c>
      <c r="G207" s="8">
        <f>Resultados_Simulacion!F207</f>
        <v>77.350441576664494</v>
      </c>
      <c r="H207" s="10">
        <f>(G207-Resultados_Simulacion!F192)/Resultados_Simulacion!F192</f>
        <v>0</v>
      </c>
      <c r="I207" s="8">
        <f>Resultados_Simulacion!H207</f>
        <v>1.1174730000000001E-2</v>
      </c>
      <c r="J207" s="10">
        <f>(I207-Resultados_Simulacion!H192)/Resultados_Simulacion!H192</f>
        <v>0</v>
      </c>
      <c r="K207" s="8">
        <f>Resultados_Simulacion!I207</f>
        <v>9.3772967493231073E-3</v>
      </c>
      <c r="L207" s="10">
        <f>(K207-Resultados_Simulacion!I192)/Resultados_Simulacion!I192</f>
        <v>8.6474997975785812E-4</v>
      </c>
    </row>
    <row r="208" spans="1:12" x14ac:dyDescent="0.3">
      <c r="A208" s="4">
        <v>231000</v>
      </c>
      <c r="B208" s="4" t="s">
        <v>45</v>
      </c>
      <c r="C208" s="8">
        <f>Resultados_Simulacion!C208</f>
        <v>1.3998889999999999</v>
      </c>
      <c r="D208" s="10">
        <f>(C208-Resultados_Simulacion!C192)/Resultados_Simulacion!C192</f>
        <v>0</v>
      </c>
      <c r="E208" s="8">
        <f>Resultados_Simulacion!E208</f>
        <v>3.2241390000000002E-2</v>
      </c>
      <c r="F208" s="10">
        <f>(E208-Resultados_Simulacion!E192)/Resultados_Simulacion!E192</f>
        <v>0</v>
      </c>
      <c r="G208" s="8">
        <f>Resultados_Simulacion!F208</f>
        <v>77.350441576664494</v>
      </c>
      <c r="H208" s="10">
        <f>(G208-Resultados_Simulacion!F192)/Resultados_Simulacion!F192</f>
        <v>0</v>
      </c>
      <c r="I208" s="8">
        <f>Resultados_Simulacion!H208</f>
        <v>1.1174730000000001E-2</v>
      </c>
      <c r="J208" s="10">
        <f>(I208-Resultados_Simulacion!H192)/Resultados_Simulacion!H192</f>
        <v>0</v>
      </c>
      <c r="K208" s="8">
        <f>Resultados_Simulacion!I208</f>
        <v>9.1959907070429409E-3</v>
      </c>
      <c r="L208" s="10">
        <f>(K208-Resultados_Simulacion!I192)/Resultados_Simulacion!I192</f>
        <v>-1.8486544058116849E-2</v>
      </c>
    </row>
    <row r="209" spans="1:12" x14ac:dyDescent="0.3">
      <c r="A209" s="4">
        <v>231000</v>
      </c>
      <c r="B209" s="4" t="s">
        <v>47</v>
      </c>
      <c r="C209" s="8">
        <f>Resultados_Simulacion!C209</f>
        <v>1.3998889999999999</v>
      </c>
      <c r="D209" s="10">
        <f>(C209-Resultados_Simulacion!C192)/Resultados_Simulacion!C192</f>
        <v>0</v>
      </c>
      <c r="E209" s="8">
        <f>Resultados_Simulacion!E209</f>
        <v>3.2241390000000002E-2</v>
      </c>
      <c r="F209" s="10">
        <f>(E209-Resultados_Simulacion!E192)/Resultados_Simulacion!E192</f>
        <v>0</v>
      </c>
      <c r="G209" s="8">
        <f>Resultados_Simulacion!F209</f>
        <v>77.350441576664494</v>
      </c>
      <c r="H209" s="10">
        <f>(G209-Resultados_Simulacion!F192)/Resultados_Simulacion!F192</f>
        <v>0</v>
      </c>
      <c r="I209" s="8">
        <f>Resultados_Simulacion!H209</f>
        <v>1.1174730000000001E-2</v>
      </c>
      <c r="J209" s="10">
        <f>(I209-Resultados_Simulacion!H192)/Resultados_Simulacion!H192</f>
        <v>0</v>
      </c>
      <c r="K209" s="8">
        <f>Resultados_Simulacion!I209</f>
        <v>9.1433886671225609E-3</v>
      </c>
      <c r="L209" s="10">
        <f>(K209-Resultados_Simulacion!I192)/Resultados_Simulacion!I192</f>
        <v>-2.4100904885200277E-2</v>
      </c>
    </row>
    <row r="210" spans="1:12" x14ac:dyDescent="0.3">
      <c r="A210" s="4">
        <v>231000</v>
      </c>
      <c r="B210" s="4" t="s">
        <v>49</v>
      </c>
      <c r="C210" s="8">
        <f>Resultados_Simulacion!C210</f>
        <v>1.3998889999999999</v>
      </c>
      <c r="D210" s="10">
        <f>(C210-Resultados_Simulacion!C192)/Resultados_Simulacion!C192</f>
        <v>0</v>
      </c>
      <c r="E210" s="8">
        <f>Resultados_Simulacion!E210</f>
        <v>3.2241390000000002E-2</v>
      </c>
      <c r="F210" s="10">
        <f>(E210-Resultados_Simulacion!E192)/Resultados_Simulacion!E192</f>
        <v>0</v>
      </c>
      <c r="G210" s="8">
        <f>Resultados_Simulacion!F210</f>
        <v>77.350441576664494</v>
      </c>
      <c r="H210" s="10">
        <f>(G210-Resultados_Simulacion!F192)/Resultados_Simulacion!F192</f>
        <v>0</v>
      </c>
      <c r="I210" s="8">
        <f>Resultados_Simulacion!H210</f>
        <v>1.1174730000000001E-2</v>
      </c>
      <c r="J210" s="10">
        <f>(I210-Resultados_Simulacion!H192)/Resultados_Simulacion!H192</f>
        <v>0</v>
      </c>
      <c r="K210" s="8">
        <f>Resultados_Simulacion!I210</f>
        <v>9.1253864727758264E-3</v>
      </c>
      <c r="L210" s="10">
        <f>(K210-Resultados_Simulacion!I192)/Resultados_Simulacion!I192</f>
        <v>-2.6022328748130926E-2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workbookViewId="0">
      <selection activeCell="D26" sqref="D26"/>
    </sheetView>
  </sheetViews>
  <sheetFormatPr baseColWidth="10" defaultColWidth="8.88671875" defaultRowHeight="14.4" x14ac:dyDescent="0.3"/>
  <cols>
    <col min="1" max="17" width="15" style="4" customWidth="1"/>
    <col min="18" max="16384" width="8.88671875" style="4"/>
  </cols>
  <sheetData>
    <row r="1" spans="1:17" ht="42" x14ac:dyDescent="0.3">
      <c r="A1" s="3" t="s">
        <v>2</v>
      </c>
      <c r="B1" s="3" t="s">
        <v>246</v>
      </c>
      <c r="C1" s="3" t="s">
        <v>247</v>
      </c>
      <c r="D1" s="3" t="s">
        <v>248</v>
      </c>
      <c r="E1" s="3" t="s">
        <v>249</v>
      </c>
      <c r="F1" s="3" t="s">
        <v>250</v>
      </c>
      <c r="G1" s="3" t="s">
        <v>251</v>
      </c>
      <c r="H1" s="3" t="s">
        <v>252</v>
      </c>
      <c r="I1" s="3" t="s">
        <v>253</v>
      </c>
      <c r="J1" s="3" t="s">
        <v>254</v>
      </c>
      <c r="K1" s="3" t="s">
        <v>255</v>
      </c>
      <c r="L1" s="3" t="s">
        <v>256</v>
      </c>
      <c r="M1" s="3" t="s">
        <v>257</v>
      </c>
      <c r="N1" s="3" t="s">
        <v>258</v>
      </c>
      <c r="O1" s="3" t="s">
        <v>259</v>
      </c>
      <c r="P1" s="3" t="s">
        <v>260</v>
      </c>
      <c r="Q1" s="3" t="s">
        <v>261</v>
      </c>
    </row>
    <row r="2" spans="1:17" x14ac:dyDescent="0.3">
      <c r="A2" s="4">
        <v>66000</v>
      </c>
      <c r="B2" s="11">
        <f>AVERAGE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</f>
        <v>-1.2228116526641413E-2</v>
      </c>
      <c r="C2" s="11">
        <f>STDEV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</f>
        <v>3.5811158493198353E-2</v>
      </c>
      <c r="D2" s="11">
        <f>MAX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-MIN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</f>
        <v>0.14341628769635767</v>
      </c>
      <c r="E2" s="11">
        <f>MAX(MAX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,-MIN(Variacion_vs_Libre!D3,Variacion_vs_Libre!D4,Variacion_vs_Libre!D5,Variacion_vs_Libre!D6,Variacion_vs_Libre!D7,Variacion_vs_Libre!D8,Variacion_vs_Libre!D9,Variacion_vs_Libre!D10,Variacion_vs_Libre!D11,Variacion_vs_Libre!D12,Variacion_vs_Libre!D13,Variacion_vs_Libre!D14,Variacion_vs_Libre!D15,Variacion_vs_Libre!D16,Variacion_vs_Libre!D17,Variacion_vs_Libre!D18,Variacion_vs_Libre!D19,Variacion_vs_Libre!D20))</f>
        <v>0.14341628769635767</v>
      </c>
      <c r="F2" s="11">
        <f>AVERAGE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</f>
        <v>7.3535883964404192E-2</v>
      </c>
      <c r="G2" s="11">
        <f>STDEV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</f>
        <v>0.1883926569128255</v>
      </c>
      <c r="H2" s="11">
        <f>MAX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-MIN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</f>
        <v>0.65253865320889193</v>
      </c>
      <c r="I2" s="11">
        <f>MAX(MAX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,-MIN(Variacion_vs_Libre!F3,Variacion_vs_Libre!F4,Variacion_vs_Libre!F5,Variacion_vs_Libre!F6,Variacion_vs_Libre!F7,Variacion_vs_Libre!F8,Variacion_vs_Libre!F9,Variacion_vs_Libre!F10,Variacion_vs_Libre!F11,Variacion_vs_Libre!F12,Variacion_vs_Libre!F13,Variacion_vs_Libre!F14,Variacion_vs_Libre!F15,Variacion_vs_Libre!F16,Variacion_vs_Libre!F17,Variacion_vs_Libre!F18,Variacion_vs_Libre!F19,Variacion_vs_Libre!F20))</f>
        <v>0.65253865320889193</v>
      </c>
      <c r="J2" s="11">
        <f>AVERAGE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</f>
        <v>6.6942162666562095E-3</v>
      </c>
      <c r="K2" s="11">
        <f>STDEV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</f>
        <v>7.9169261621176046E-2</v>
      </c>
      <c r="L2" s="11">
        <f>MAX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-MIN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</f>
        <v>0.26913678629967858</v>
      </c>
      <c r="M2" s="11">
        <f>MAX(MAX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,-MIN(Variacion_vs_Libre!H3,Variacion_vs_Libre!H4,Variacion_vs_Libre!H5,Variacion_vs_Libre!H6,Variacion_vs_Libre!H7,Variacion_vs_Libre!H8,Variacion_vs_Libre!H9,Variacion_vs_Libre!H10,Variacion_vs_Libre!H11,Variacion_vs_Libre!H12,Variacion_vs_Libre!H13,Variacion_vs_Libre!H14,Variacion_vs_Libre!H15,Variacion_vs_Libre!H16,Variacion_vs_Libre!H17,Variacion_vs_Libre!H18,Variacion_vs_Libre!H19,Variacion_vs_Libre!H20))</f>
        <v>0.17713679430603677</v>
      </c>
      <c r="N2" s="11">
        <f>AVERAGE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</f>
        <v>-0.35141414549826699</v>
      </c>
      <c r="O2" s="11">
        <f>STDEV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</f>
        <v>4.9012331949872735E-2</v>
      </c>
      <c r="P2" s="11">
        <f>MAX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-MIN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</f>
        <v>0.14549674854608113</v>
      </c>
      <c r="Q2" s="11">
        <f>MAX(MAX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,-MIN(Variacion_vs_Libre!L3,Variacion_vs_Libre!L4,Variacion_vs_Libre!L5,Variacion_vs_Libre!L6,Variacion_vs_Libre!L7,Variacion_vs_Libre!L8,Variacion_vs_Libre!L9,Variacion_vs_Libre!L10,Variacion_vs_Libre!L11,Variacion_vs_Libre!L12,Variacion_vs_Libre!L13,Variacion_vs_Libre!L14,Variacion_vs_Libre!L15,Variacion_vs_Libre!L16,Variacion_vs_Libre!L17,Variacion_vs_Libre!L18,Variacion_vs_Libre!L19,Variacion_vs_Libre!L20))</f>
        <v>0.39809724373504835</v>
      </c>
    </row>
    <row r="3" spans="1:17" x14ac:dyDescent="0.3">
      <c r="A3" s="4">
        <v>73000</v>
      </c>
      <c r="B3" s="11">
        <f>AVERAGE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</f>
        <v>-1.0162660348437026E-2</v>
      </c>
      <c r="C3" s="11">
        <f>STDEV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</f>
        <v>2.9529813579945489E-2</v>
      </c>
      <c r="D3" s="11">
        <f>MAX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-MIN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</f>
        <v>0.11710126780852294</v>
      </c>
      <c r="E3" s="11">
        <f>MAX(MAX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,-MIN(Variacion_vs_Libre!D22,Variacion_vs_Libre!D23,Variacion_vs_Libre!D24,Variacion_vs_Libre!D25,Variacion_vs_Libre!D26,Variacion_vs_Libre!D27,Variacion_vs_Libre!D28,Variacion_vs_Libre!D29,Variacion_vs_Libre!D30,Variacion_vs_Libre!D31,Variacion_vs_Libre!D32,Variacion_vs_Libre!D33,Variacion_vs_Libre!D34,Variacion_vs_Libre!D35,Variacion_vs_Libre!D36,Variacion_vs_Libre!D37,Variacion_vs_Libre!D38,Variacion_vs_Libre!D39))</f>
        <v>0.11710126780852294</v>
      </c>
      <c r="F3" s="11">
        <f>AVERAGE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</f>
        <v>7.3028591773581938E-2</v>
      </c>
      <c r="G3" s="11">
        <f>STDEV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</f>
        <v>0.18334734612459852</v>
      </c>
      <c r="H3" s="11">
        <f>MAX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-MIN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</f>
        <v>0.62258246692755692</v>
      </c>
      <c r="I3" s="11">
        <f>MAX(MAX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,-MIN(Variacion_vs_Libre!F22,Variacion_vs_Libre!F23,Variacion_vs_Libre!F24,Variacion_vs_Libre!F25,Variacion_vs_Libre!F26,Variacion_vs_Libre!F27,Variacion_vs_Libre!F28,Variacion_vs_Libre!F29,Variacion_vs_Libre!F30,Variacion_vs_Libre!F31,Variacion_vs_Libre!F32,Variacion_vs_Libre!F33,Variacion_vs_Libre!F34,Variacion_vs_Libre!F35,Variacion_vs_Libre!F36,Variacion_vs_Libre!F37,Variacion_vs_Libre!F38,Variacion_vs_Libre!F39))</f>
        <v>0.62258246692755692</v>
      </c>
      <c r="J3" s="11">
        <f>AVERAGE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</f>
        <v>-7.8895982062336424E-3</v>
      </c>
      <c r="K3" s="11">
        <f>STDEV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</f>
        <v>7.6160997615657297E-2</v>
      </c>
      <c r="L3" s="11">
        <f>MAX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-MIN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</f>
        <v>0.26075692279637924</v>
      </c>
      <c r="M3" s="11">
        <f>MAX(MAX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,-MIN(Variacion_vs_Libre!H22,Variacion_vs_Libre!H23,Variacion_vs_Libre!H24,Variacion_vs_Libre!H25,Variacion_vs_Libre!H26,Variacion_vs_Libre!H27,Variacion_vs_Libre!H28,Variacion_vs_Libre!H29,Variacion_vs_Libre!H30,Variacion_vs_Libre!H31,Variacion_vs_Libre!H32,Variacion_vs_Libre!H33,Variacion_vs_Libre!H34,Variacion_vs_Libre!H35,Variacion_vs_Libre!H36,Variacion_vs_Libre!H37,Variacion_vs_Libre!H38,Variacion_vs_Libre!H39))</f>
        <v>0.19232439757143743</v>
      </c>
      <c r="N3" s="11">
        <f>AVERAGE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</f>
        <v>-0.31993827852156753</v>
      </c>
      <c r="O3" s="11">
        <f>STDEV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</f>
        <v>5.3842301158537345E-2</v>
      </c>
      <c r="P3" s="11">
        <f>MAX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-MIN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</f>
        <v>0.15903276562202701</v>
      </c>
      <c r="Q3" s="11">
        <f>MAX(MAX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,-MIN(Variacion_vs_Libre!L22,Variacion_vs_Libre!L23,Variacion_vs_Libre!L24,Variacion_vs_Libre!L25,Variacion_vs_Libre!L26,Variacion_vs_Libre!L27,Variacion_vs_Libre!L28,Variacion_vs_Libre!L29,Variacion_vs_Libre!L30,Variacion_vs_Libre!L31,Variacion_vs_Libre!L32,Variacion_vs_Libre!L33,Variacion_vs_Libre!L34,Variacion_vs_Libre!L35,Variacion_vs_Libre!L36,Variacion_vs_Libre!L37,Variacion_vs_Libre!L38,Variacion_vs_Libre!L39))</f>
        <v>0.37170604590618855</v>
      </c>
    </row>
    <row r="4" spans="1:17" x14ac:dyDescent="0.3">
      <c r="A4" s="4">
        <v>79000</v>
      </c>
      <c r="B4" s="11">
        <f>AVERAGE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</f>
        <v>-8.0453299283164345E-3</v>
      </c>
      <c r="C4" s="11">
        <f>STDEV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</f>
        <v>2.3686178270865377E-2</v>
      </c>
      <c r="D4" s="11">
        <f>MAX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-MIN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</f>
        <v>9.3214741056542372E-2</v>
      </c>
      <c r="E4" s="11">
        <f>MAX(MAX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,-MIN(Variacion_vs_Libre!D41,Variacion_vs_Libre!D42,Variacion_vs_Libre!D43,Variacion_vs_Libre!D44,Variacion_vs_Libre!D45,Variacion_vs_Libre!D46,Variacion_vs_Libre!D47,Variacion_vs_Libre!D48,Variacion_vs_Libre!D49,Variacion_vs_Libre!D50,Variacion_vs_Libre!D51,Variacion_vs_Libre!D52,Variacion_vs_Libre!D53,Variacion_vs_Libre!D54,Variacion_vs_Libre!D55,Variacion_vs_Libre!D56,Variacion_vs_Libre!D57,Variacion_vs_Libre!D58))</f>
        <v>9.3214741056542372E-2</v>
      </c>
      <c r="F4" s="11">
        <f>AVERAGE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</f>
        <v>6.7544852460610649E-2</v>
      </c>
      <c r="G4" s="11">
        <f>STDEV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</f>
        <v>0.17121819201514291</v>
      </c>
      <c r="H4" s="11">
        <f>MAX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-MIN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</f>
        <v>0.57541528837861855</v>
      </c>
      <c r="I4" s="11">
        <f>MAX(MAX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,-MIN(Variacion_vs_Libre!F41,Variacion_vs_Libre!F42,Variacion_vs_Libre!F43,Variacion_vs_Libre!F44,Variacion_vs_Libre!F45,Variacion_vs_Libre!F46,Variacion_vs_Libre!F47,Variacion_vs_Libre!F48,Variacion_vs_Libre!F49,Variacion_vs_Libre!F50,Variacion_vs_Libre!F51,Variacion_vs_Libre!F52,Variacion_vs_Libre!F53,Variacion_vs_Libre!F54,Variacion_vs_Libre!F55,Variacion_vs_Libre!F56,Variacion_vs_Libre!F57,Variacion_vs_Libre!F58))</f>
        <v>0.57541528837861855</v>
      </c>
      <c r="J4" s="11">
        <f>AVERAGE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</f>
        <v>-1.5599766183278361E-2</v>
      </c>
      <c r="K4" s="11">
        <f>STDEV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</f>
        <v>7.4666384884124956E-2</v>
      </c>
      <c r="L4" s="11">
        <f>MAX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-MIN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</f>
        <v>0.256348268639085</v>
      </c>
      <c r="M4" s="11">
        <f>MAX(MAX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,-MIN(Variacion_vs_Libre!H41,Variacion_vs_Libre!H42,Variacion_vs_Libre!H43,Variacion_vs_Libre!H44,Variacion_vs_Libre!H45,Variacion_vs_Libre!H46,Variacion_vs_Libre!H47,Variacion_vs_Libre!H48,Variacion_vs_Libre!H49,Variacion_vs_Libre!H50,Variacion_vs_Libre!H51,Variacion_vs_Libre!H52,Variacion_vs_Libre!H53,Variacion_vs_Libre!H54,Variacion_vs_Libre!H55,Variacion_vs_Libre!H56,Variacion_vs_Libre!H57,Variacion_vs_Libre!H58))</f>
        <v>0.20123977651640337</v>
      </c>
      <c r="N4" s="11">
        <f>AVERAGE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</f>
        <v>-0.27881156539062535</v>
      </c>
      <c r="O4" s="11">
        <f>STDEV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</f>
        <v>5.9598724170372361E-2</v>
      </c>
      <c r="P4" s="11">
        <f>MAX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-MIN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</f>
        <v>0.17534450571204663</v>
      </c>
      <c r="Q4" s="11">
        <f>MAX(MAX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,-MIN(Variacion_vs_Libre!L41,Variacion_vs_Libre!L42,Variacion_vs_Libre!L43,Variacion_vs_Libre!L44,Variacion_vs_Libre!L45,Variacion_vs_Libre!L46,Variacion_vs_Libre!L47,Variacion_vs_Libre!L48,Variacion_vs_Libre!L49,Variacion_vs_Libre!L50,Variacion_vs_Libre!L51,Variacion_vs_Libre!L52,Variacion_vs_Libre!L53,Variacion_vs_Libre!L54,Variacion_vs_Libre!L55,Variacion_vs_Libre!L56,Variacion_vs_Libre!L57,Variacion_vs_Libre!L58))</f>
        <v>0.33629053079497861</v>
      </c>
    </row>
    <row r="5" spans="1:17" x14ac:dyDescent="0.3">
      <c r="A5" s="4">
        <v>92000</v>
      </c>
      <c r="B5" s="11">
        <f>AVERAGE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</f>
        <v>-4.3091754361257971E-3</v>
      </c>
      <c r="C5" s="11">
        <f>STDEV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</f>
        <v>1.3109502485012805E-2</v>
      </c>
      <c r="D5" s="11">
        <f>MAX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-MIN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</f>
        <v>5.0668696551623614E-2</v>
      </c>
      <c r="E5" s="11">
        <f>MAX(MAX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,-MIN(Variacion_vs_Libre!D60,Variacion_vs_Libre!D61,Variacion_vs_Libre!D62,Variacion_vs_Libre!D63,Variacion_vs_Libre!D64,Variacion_vs_Libre!D65,Variacion_vs_Libre!D66,Variacion_vs_Libre!D67,Variacion_vs_Libre!D68,Variacion_vs_Libre!D69,Variacion_vs_Libre!D70,Variacion_vs_Libre!D71,Variacion_vs_Libre!D72,Variacion_vs_Libre!D73,Variacion_vs_Libre!D74,Variacion_vs_Libre!D75,Variacion_vs_Libre!D76,Variacion_vs_Libre!D77))</f>
        <v>5.0668696551623614E-2</v>
      </c>
      <c r="F5" s="11">
        <f>AVERAGE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</f>
        <v>9.8292027793974529E-2</v>
      </c>
      <c r="G5" s="11">
        <f>STDEV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</f>
        <v>0.3106636298401747</v>
      </c>
      <c r="H5" s="11">
        <f>MAX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-MIN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</f>
        <v>1.2856412737210619</v>
      </c>
      <c r="I5" s="11">
        <f>MAX(MAX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,-MIN(Variacion_vs_Libre!F60,Variacion_vs_Libre!F61,Variacion_vs_Libre!F62,Variacion_vs_Libre!F63,Variacion_vs_Libre!F64,Variacion_vs_Libre!F65,Variacion_vs_Libre!F66,Variacion_vs_Libre!F67,Variacion_vs_Libre!F68,Variacion_vs_Libre!F69,Variacion_vs_Libre!F70,Variacion_vs_Libre!F71,Variacion_vs_Libre!F72,Variacion_vs_Libre!F73,Variacion_vs_Libre!F74,Variacion_vs_Libre!F75,Variacion_vs_Libre!F76,Variacion_vs_Libre!F77))</f>
        <v>1.2856412737210619</v>
      </c>
      <c r="J5" s="11">
        <f>AVERAGE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</f>
        <v>-2.9060930558396966E-2</v>
      </c>
      <c r="K5" s="11">
        <f>STDEV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</f>
        <v>7.393767658755597E-2</v>
      </c>
      <c r="L5" s="11">
        <f>MAX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-MIN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</f>
        <v>0.25092834518252888</v>
      </c>
      <c r="M5" s="11">
        <f>MAX(MAX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,-MIN(Variacion_vs_Libre!H60,Variacion_vs_Libre!H61,Variacion_vs_Libre!H62,Variacion_vs_Libre!H63,Variacion_vs_Libre!H64,Variacion_vs_Libre!H65,Variacion_vs_Libre!H66,Variacion_vs_Libre!H67,Variacion_vs_Libre!H68,Variacion_vs_Libre!H69,Variacion_vs_Libre!H70,Variacion_vs_Libre!H71,Variacion_vs_Libre!H72,Variacion_vs_Libre!H73,Variacion_vs_Libre!H74,Variacion_vs_Libre!H75,Variacion_vs_Libre!H76,Variacion_vs_Libre!H77))</f>
        <v>0.2183730963654853</v>
      </c>
      <c r="N5" s="11">
        <f>AVERAGE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</f>
        <v>-0.21316430147515911</v>
      </c>
      <c r="O5" s="11">
        <f>STDEV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</f>
        <v>7.0421920836031368E-2</v>
      </c>
      <c r="P5" s="11">
        <f>MAX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-MIN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</f>
        <v>0.20781446781430438</v>
      </c>
      <c r="Q5" s="11">
        <f>MAX(MAX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,-MIN(Variacion_vs_Libre!L60,Variacion_vs_Libre!L61,Variacion_vs_Libre!L62,Variacion_vs_Libre!L63,Variacion_vs_Libre!L64,Variacion_vs_Libre!L65,Variacion_vs_Libre!L66,Variacion_vs_Libre!L67,Variacion_vs_Libre!L68,Variacion_vs_Libre!L69,Variacion_vs_Libre!L70,Variacion_vs_Libre!L71,Variacion_vs_Libre!L72,Variacion_vs_Libre!L73,Variacion_vs_Libre!L74,Variacion_vs_Libre!L75,Variacion_vs_Libre!L76,Variacion_vs_Libre!L77))</f>
        <v>0.28324451044213728</v>
      </c>
    </row>
    <row r="6" spans="1:17" x14ac:dyDescent="0.3">
      <c r="A6" s="4">
        <v>99000</v>
      </c>
      <c r="B6" s="11">
        <f>AVERAGE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</f>
        <v>-3.3233797428615327E-3</v>
      </c>
      <c r="C6" s="11">
        <f>STDEV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</f>
        <v>1.0308859091966806E-2</v>
      </c>
      <c r="D6" s="11">
        <f>MAX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-MIN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</f>
        <v>4.030693076535577E-2</v>
      </c>
      <c r="E6" s="11">
        <f>MAX(MAX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,-MIN(Variacion_vs_Libre!D79,Variacion_vs_Libre!D80,Variacion_vs_Libre!D81,Variacion_vs_Libre!D82,Variacion_vs_Libre!D83,Variacion_vs_Libre!D84,Variacion_vs_Libre!D85,Variacion_vs_Libre!D86,Variacion_vs_Libre!D87,Variacion_vs_Libre!D88,Variacion_vs_Libre!D89,Variacion_vs_Libre!D90,Variacion_vs_Libre!D91,Variacion_vs_Libre!D92,Variacion_vs_Libre!D93,Variacion_vs_Libre!D94,Variacion_vs_Libre!D95,Variacion_vs_Libre!D96))</f>
        <v>4.030693076535577E-2</v>
      </c>
      <c r="F6" s="11">
        <f>AVERAGE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</f>
        <v>3.7805024190406079E-2</v>
      </c>
      <c r="G6" s="11">
        <f>STDEV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</f>
        <v>0.11302384354917044</v>
      </c>
      <c r="H6" s="11">
        <f>MAX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-MIN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</f>
        <v>0.41560495470424885</v>
      </c>
      <c r="I6" s="11">
        <f>MAX(MAX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,-MIN(Variacion_vs_Libre!F79,Variacion_vs_Libre!F80,Variacion_vs_Libre!F81,Variacion_vs_Libre!F82,Variacion_vs_Libre!F83,Variacion_vs_Libre!F84,Variacion_vs_Libre!F85,Variacion_vs_Libre!F86,Variacion_vs_Libre!F87,Variacion_vs_Libre!F88,Variacion_vs_Libre!F89,Variacion_vs_Libre!F90,Variacion_vs_Libre!F91,Variacion_vs_Libre!F92,Variacion_vs_Libre!F93,Variacion_vs_Libre!F94,Variacion_vs_Libre!F95,Variacion_vs_Libre!F96))</f>
        <v>0.41560495470424885</v>
      </c>
      <c r="J6" s="11">
        <f>AVERAGE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</f>
        <v>-3.3316537017666431E-2</v>
      </c>
      <c r="K6" s="11">
        <f>STDEV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</f>
        <v>7.4307863469614308E-2</v>
      </c>
      <c r="L6" s="11">
        <f>MAX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-MIN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</f>
        <v>0.25077456237708717</v>
      </c>
      <c r="M6" s="11">
        <f>MAX(MAX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,-MIN(Variacion_vs_Libre!H79,Variacion_vs_Libre!H80,Variacion_vs_Libre!H81,Variacion_vs_Libre!H82,Variacion_vs_Libre!H83,Variacion_vs_Libre!H84,Variacion_vs_Libre!H85,Variacion_vs_Libre!H86,Variacion_vs_Libre!H87,Variacion_vs_Libre!H88,Variacion_vs_Libre!H89,Variacion_vs_Libre!H90,Variacion_vs_Libre!H91,Variacion_vs_Libre!H92,Variacion_vs_Libre!H93,Variacion_vs_Libre!H94,Variacion_vs_Libre!H95,Variacion_vs_Libre!H96))</f>
        <v>0.22486840574917868</v>
      </c>
      <c r="N6" s="11">
        <f>AVERAGE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</f>
        <v>-0.18165846028204122</v>
      </c>
      <c r="O6" s="11">
        <f>STDEV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</f>
        <v>7.5900147048088881E-2</v>
      </c>
      <c r="P6" s="11">
        <f>MAX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-MIN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</f>
        <v>0.22431149020354163</v>
      </c>
      <c r="Q6" s="11">
        <f>MAX(MAX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,-MIN(Variacion_vs_Libre!L79,Variacion_vs_Libre!L80,Variacion_vs_Libre!L81,Variacion_vs_Libre!L82,Variacion_vs_Libre!L83,Variacion_vs_Libre!L84,Variacion_vs_Libre!L85,Variacion_vs_Libre!L86,Variacion_vs_Libre!L87,Variacion_vs_Libre!L88,Variacion_vs_Libre!L89,Variacion_vs_Libre!L90,Variacion_vs_Libre!L91,Variacion_vs_Libre!L92,Variacion_vs_Libre!L93,Variacion_vs_Libre!L94,Variacion_vs_Libre!L95,Variacion_vs_Libre!L96))</f>
        <v>0.25814961927422025</v>
      </c>
    </row>
    <row r="7" spans="1:17" x14ac:dyDescent="0.3">
      <c r="A7" s="4">
        <v>119000</v>
      </c>
      <c r="B7" s="11">
        <f>AVERAGE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</f>
        <v>-1.1007512900641152E-3</v>
      </c>
      <c r="C7" s="11">
        <f>STDEV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</f>
        <v>3.5775823585666821E-3</v>
      </c>
      <c r="D7" s="11">
        <f>MAX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-MIN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</f>
        <v>1.4549311237579588E-2</v>
      </c>
      <c r="E7" s="11">
        <f>MAX(MAX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,-MIN(Variacion_vs_Libre!D98,Variacion_vs_Libre!D99,Variacion_vs_Libre!D100,Variacion_vs_Libre!D101,Variacion_vs_Libre!D102,Variacion_vs_Libre!D103,Variacion_vs_Libre!D104,Variacion_vs_Libre!D105,Variacion_vs_Libre!D106,Variacion_vs_Libre!D107,Variacion_vs_Libre!D108,Variacion_vs_Libre!D109,Variacion_vs_Libre!D110,Variacion_vs_Libre!D111,Variacion_vs_Libre!D112,Variacion_vs_Libre!D113,Variacion_vs_Libre!D114,Variacion_vs_Libre!D115))</f>
        <v>1.4549311237579588E-2</v>
      </c>
      <c r="F7" s="11">
        <f>AVERAGE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</f>
        <v>2.0072314957160227E-2</v>
      </c>
      <c r="G7" s="11">
        <f>STDEV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</f>
        <v>7.0183549442317403E-2</v>
      </c>
      <c r="H7" s="11">
        <f>MAX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-MIN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</f>
        <v>0.29405306831157541</v>
      </c>
      <c r="I7" s="11">
        <f>MAX(MAX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,-MIN(Variacion_vs_Libre!F98,Variacion_vs_Libre!F99,Variacion_vs_Libre!F100,Variacion_vs_Libre!F101,Variacion_vs_Libre!F102,Variacion_vs_Libre!F103,Variacion_vs_Libre!F104,Variacion_vs_Libre!F105,Variacion_vs_Libre!F106,Variacion_vs_Libre!F107,Variacion_vs_Libre!F108,Variacion_vs_Libre!F109,Variacion_vs_Libre!F110,Variacion_vs_Libre!F111,Variacion_vs_Libre!F112,Variacion_vs_Libre!F113,Variacion_vs_Libre!F114,Variacion_vs_Libre!F115))</f>
        <v>0.29405306831157541</v>
      </c>
      <c r="J7" s="11">
        <f>AVERAGE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</f>
        <v>-4.1316970058367646E-2</v>
      </c>
      <c r="K7" s="11">
        <f>STDEV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</f>
        <v>7.6063679438687831E-2</v>
      </c>
      <c r="L7" s="11">
        <f>MAX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-MIN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</f>
        <v>0.25285692104387408</v>
      </c>
      <c r="M7" s="11">
        <f>MAX(MAX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,-MIN(Variacion_vs_Libre!H98,Variacion_vs_Libre!H99,Variacion_vs_Libre!H100,Variacion_vs_Libre!H101,Variacion_vs_Libre!H102,Variacion_vs_Libre!H103,Variacion_vs_Libre!H104,Variacion_vs_Libre!H105,Variacion_vs_Libre!H106,Variacion_vs_Libre!H107,Variacion_vs_Libre!H108,Variacion_vs_Libre!H109,Variacion_vs_Libre!H110,Variacion_vs_Libre!H111,Variacion_vs_Libre!H112,Variacion_vs_Libre!H113,Variacion_vs_Libre!H114,Variacion_vs_Libre!H115))</f>
        <v>0.23907120780031826</v>
      </c>
      <c r="N7" s="11">
        <f>AVERAGE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</f>
        <v>-8.9600327974016694E-2</v>
      </c>
      <c r="O7" s="11">
        <f>STDEV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</f>
        <v>9.2627311986956104E-2</v>
      </c>
      <c r="P7" s="11">
        <f>MAX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-MIN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</f>
        <v>0.27476833884114982</v>
      </c>
      <c r="Q7" s="11">
        <f>MAX(MAX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,-MIN(Variacion_vs_Libre!L98,Variacion_vs_Libre!L99,Variacion_vs_Libre!L100,Variacion_vs_Libre!L101,Variacion_vs_Libre!L102,Variacion_vs_Libre!L103,Variacion_vs_Libre!L104,Variacion_vs_Libre!L105,Variacion_vs_Libre!L106,Variacion_vs_Libre!L107,Variacion_vs_Libre!L108,Variacion_vs_Libre!L109,Variacion_vs_Libre!L110,Variacion_vs_Libre!L111,Variacion_vs_Libre!L112,Variacion_vs_Libre!L113,Variacion_vs_Libre!L114,Variacion_vs_Libre!L115))</f>
        <v>0.18544646714459376</v>
      </c>
    </row>
    <row r="8" spans="1:17" x14ac:dyDescent="0.3">
      <c r="A8" s="4">
        <v>126000</v>
      </c>
      <c r="B8" s="11">
        <f>AVERAGE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</f>
        <v>-6.4829471959853679E-4</v>
      </c>
      <c r="C8" s="11">
        <f>STDEV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</f>
        <v>2.3209836756379982E-3</v>
      </c>
      <c r="D8" s="11">
        <f>MAX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-MIN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</f>
        <v>9.7752881183665284E-3</v>
      </c>
      <c r="E8" s="11">
        <f>MAX(MAX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,-MIN(Variacion_vs_Libre!D117,Variacion_vs_Libre!D118,Variacion_vs_Libre!D119,Variacion_vs_Libre!D120,Variacion_vs_Libre!D121,Variacion_vs_Libre!D122,Variacion_vs_Libre!D123,Variacion_vs_Libre!D124,Variacion_vs_Libre!D125,Variacion_vs_Libre!D126,Variacion_vs_Libre!D127,Variacion_vs_Libre!D128,Variacion_vs_Libre!D129,Variacion_vs_Libre!D130,Variacion_vs_Libre!D131,Variacion_vs_Libre!D132,Variacion_vs_Libre!D133,Variacion_vs_Libre!D134))</f>
        <v>9.7752881183665284E-3</v>
      </c>
      <c r="F8" s="11">
        <f>AVERAGE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</f>
        <v>1.5334497885278763E-2</v>
      </c>
      <c r="G8" s="11">
        <f>STDEV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</f>
        <v>5.1884045956897454E-2</v>
      </c>
      <c r="H8" s="11">
        <f>MAX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-MIN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</f>
        <v>0.2151534617431293</v>
      </c>
      <c r="I8" s="11">
        <f>MAX(MAX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,-MIN(Variacion_vs_Libre!F117,Variacion_vs_Libre!F118,Variacion_vs_Libre!F119,Variacion_vs_Libre!F120,Variacion_vs_Libre!F121,Variacion_vs_Libre!F122,Variacion_vs_Libre!F123,Variacion_vs_Libre!F124,Variacion_vs_Libre!F125,Variacion_vs_Libre!F126,Variacion_vs_Libre!F127,Variacion_vs_Libre!F128,Variacion_vs_Libre!F129,Variacion_vs_Libre!F130,Variacion_vs_Libre!F131,Variacion_vs_Libre!F132,Variacion_vs_Libre!F133,Variacion_vs_Libre!F134))</f>
        <v>0.2151534617431293</v>
      </c>
      <c r="J8" s="11">
        <f>AVERAGE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</f>
        <v>-4.3032493303007381E-2</v>
      </c>
      <c r="K8" s="11">
        <f>STDEV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</f>
        <v>7.6685508924379642E-2</v>
      </c>
      <c r="L8" s="11">
        <f>MAX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-MIN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</f>
        <v>0.2541681296209608</v>
      </c>
      <c r="M8" s="11">
        <f>MAX(MAX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,-MIN(Variacion_vs_Libre!H117,Variacion_vs_Libre!H118,Variacion_vs_Libre!H119,Variacion_vs_Libre!H120,Variacion_vs_Libre!H121,Variacion_vs_Libre!H122,Variacion_vs_Libre!H123,Variacion_vs_Libre!H124,Variacion_vs_Libre!H125,Variacion_vs_Libre!H126,Variacion_vs_Libre!H127,Variacion_vs_Libre!H128,Variacion_vs_Libre!H129,Variacion_vs_Libre!H130,Variacion_vs_Libre!H131,Variacion_vs_Libre!H132,Variacion_vs_Libre!H133,Variacion_vs_Libre!H134))</f>
        <v>0.2425889040340683</v>
      </c>
      <c r="N8" s="11">
        <f>AVERAGE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</f>
        <v>-6.6456875923348077E-2</v>
      </c>
      <c r="O8" s="11">
        <f>STDEV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</f>
        <v>9.7519567191214102E-2</v>
      </c>
      <c r="P8" s="11">
        <f>MAX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-MIN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</f>
        <v>0.28976890591074789</v>
      </c>
      <c r="Q8" s="11">
        <f>MAX(MAX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,-MIN(Variacion_vs_Libre!L117,Variacion_vs_Libre!L118,Variacion_vs_Libre!L119,Variacion_vs_Libre!L120,Variacion_vs_Libre!L121,Variacion_vs_Libre!L122,Variacion_vs_Libre!L123,Variacion_vs_Libre!L124,Variacion_vs_Libre!L125,Variacion_vs_Libre!L126,Variacion_vs_Libre!L127,Variacion_vs_Libre!L128,Variacion_vs_Libre!L129,Variacion_vs_Libre!L130,Variacion_vs_Libre!L131,Variacion_vs_Libre!L132,Variacion_vs_Libre!L133,Variacion_vs_Libre!L134))</f>
        <v>0.16826986042132711</v>
      </c>
    </row>
    <row r="9" spans="1:17" x14ac:dyDescent="0.3">
      <c r="A9" s="4">
        <v>132000</v>
      </c>
      <c r="B9" s="11">
        <f>AVERAGE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</f>
        <v>-3.4075432229231824E-4</v>
      </c>
      <c r="C9" s="11">
        <f>STDEV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</f>
        <v>1.4416987832989898E-3</v>
      </c>
      <c r="D9" s="11">
        <f>MAX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-MIN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</f>
        <v>6.117532770152625E-3</v>
      </c>
      <c r="E9" s="11">
        <f>MAX(MAX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,-MIN(Variacion_vs_Libre!D136,Variacion_vs_Libre!D137,Variacion_vs_Libre!D138,Variacion_vs_Libre!D139,Variacion_vs_Libre!D140,Variacion_vs_Libre!D141,Variacion_vs_Libre!D142,Variacion_vs_Libre!D143,Variacion_vs_Libre!D144,Variacion_vs_Libre!D145,Variacion_vs_Libre!D146,Variacion_vs_Libre!D147,Variacion_vs_Libre!D148,Variacion_vs_Libre!D149,Variacion_vs_Libre!D150,Variacion_vs_Libre!D151,Variacion_vs_Libre!D152,Variacion_vs_Libre!D153))</f>
        <v>6.117532770152625E-3</v>
      </c>
      <c r="F9" s="11">
        <f>AVERAGE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</f>
        <v>1.4729763431975178E-2</v>
      </c>
      <c r="G9" s="11">
        <f>STDEV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</f>
        <v>4.993402808575139E-2</v>
      </c>
      <c r="H9" s="11">
        <f>MAX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-MIN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</f>
        <v>0.20721647336982268</v>
      </c>
      <c r="I9" s="11">
        <f>MAX(MAX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,-MIN(Variacion_vs_Libre!F136,Variacion_vs_Libre!F137,Variacion_vs_Libre!F138,Variacion_vs_Libre!F139,Variacion_vs_Libre!F140,Variacion_vs_Libre!F141,Variacion_vs_Libre!F142,Variacion_vs_Libre!F143,Variacion_vs_Libre!F144,Variacion_vs_Libre!F145,Variacion_vs_Libre!F146,Variacion_vs_Libre!F147,Variacion_vs_Libre!F148,Variacion_vs_Libre!F149,Variacion_vs_Libre!F150,Variacion_vs_Libre!F151,Variacion_vs_Libre!F152,Variacion_vs_Libre!F153))</f>
        <v>0.20721647336982268</v>
      </c>
      <c r="J9" s="11">
        <f>AVERAGE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</f>
        <v>-4.4378294390146913E-2</v>
      </c>
      <c r="K9" s="11">
        <f>STDEV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</f>
        <v>7.7255122679154895E-2</v>
      </c>
      <c r="L9" s="11">
        <f>MAX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-MIN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</f>
        <v>0.25529616805215966</v>
      </c>
      <c r="M9" s="11">
        <f>MAX(MAX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,-MIN(Variacion_vs_Libre!H136,Variacion_vs_Libre!H137,Variacion_vs_Libre!H138,Variacion_vs_Libre!H139,Variacion_vs_Libre!H140,Variacion_vs_Libre!H141,Variacion_vs_Libre!H142,Variacion_vs_Libre!H143,Variacion_vs_Libre!H144,Variacion_vs_Libre!H145,Variacion_vs_Libre!H146,Variacion_vs_Libre!H147,Variacion_vs_Libre!H148,Variacion_vs_Libre!H149,Variacion_vs_Libre!H150,Variacion_vs_Libre!H151,Variacion_vs_Libre!H152,Variacion_vs_Libre!H153))</f>
        <v>0.24558080297453688</v>
      </c>
      <c r="N9" s="11">
        <f>AVERAGE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</f>
        <v>-4.3387337830209392E-2</v>
      </c>
      <c r="O9" s="11">
        <f>STDEV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</f>
        <v>0.10239244515828611</v>
      </c>
      <c r="P9" s="11">
        <f>MAX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-MIN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</f>
        <v>0.3048720140882093</v>
      </c>
      <c r="Q9" s="11">
        <f>MAX(MAX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,-MIN(Variacion_vs_Libre!L136,Variacion_vs_Libre!L137,Variacion_vs_Libre!L138,Variacion_vs_Libre!L139,Variacion_vs_Libre!L140,Variacion_vs_Libre!L141,Variacion_vs_Libre!L142,Variacion_vs_Libre!L143,Variacion_vs_Libre!L144,Variacion_vs_Libre!L145,Variacion_vs_Libre!L146,Variacion_vs_Libre!L147,Variacion_vs_Libre!L148,Variacion_vs_Libre!L149,Variacion_vs_Libre!L150,Variacion_vs_Libre!L151,Variacion_vs_Libre!L152,Variacion_vs_Libre!L153))</f>
        <v>0.15355109692313959</v>
      </c>
    </row>
    <row r="10" spans="1:17" x14ac:dyDescent="0.3">
      <c r="A10" s="4">
        <v>165000</v>
      </c>
      <c r="B10" s="11">
        <f>AVERAGE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</f>
        <v>-1.2356225487635518E-4</v>
      </c>
      <c r="C10" s="11">
        <f>STDEV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</f>
        <v>5.2423024993062761E-4</v>
      </c>
      <c r="D10" s="11">
        <f>MAX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-MIN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</f>
        <v>2.224120587774393E-3</v>
      </c>
      <c r="E10" s="11">
        <f>MAX(MAX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,-MIN(Variacion_vs_Libre!D155,Variacion_vs_Libre!D156,Variacion_vs_Libre!D157,Variacion_vs_Libre!D158,Variacion_vs_Libre!D159,Variacion_vs_Libre!D160,Variacion_vs_Libre!D161,Variacion_vs_Libre!D162,Variacion_vs_Libre!D163,Variacion_vs_Libre!D164,Variacion_vs_Libre!D165,Variacion_vs_Libre!D166,Variacion_vs_Libre!D167,Variacion_vs_Libre!D168,Variacion_vs_Libre!D169,Variacion_vs_Libre!D170,Variacion_vs_Libre!D171,Variacion_vs_Libre!D172))</f>
        <v>2.224120587774393E-3</v>
      </c>
      <c r="F10" s="11">
        <f>AVERAGE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</f>
        <v>3.9329297202936762E-3</v>
      </c>
      <c r="G10" s="11">
        <f>STDEV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</f>
        <v>1.6686007650898619E-2</v>
      </c>
      <c r="H10" s="11">
        <f>MAX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-MIN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</f>
        <v>7.0792734965286166E-2</v>
      </c>
      <c r="I10" s="11">
        <f>MAX(MAX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,-MIN(Variacion_vs_Libre!F155,Variacion_vs_Libre!F156,Variacion_vs_Libre!F157,Variacion_vs_Libre!F158,Variacion_vs_Libre!F159,Variacion_vs_Libre!F160,Variacion_vs_Libre!F161,Variacion_vs_Libre!F162,Variacion_vs_Libre!F163,Variacion_vs_Libre!F164,Variacion_vs_Libre!F165,Variacion_vs_Libre!F166,Variacion_vs_Libre!F167,Variacion_vs_Libre!F168,Variacion_vs_Libre!F169,Variacion_vs_Libre!F170,Variacion_vs_Libre!F171,Variacion_vs_Libre!F172))</f>
        <v>7.0792734965286166E-2</v>
      </c>
      <c r="J10" s="11">
        <f>AVERAGE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</f>
        <v>-5.2157817676858918E-2</v>
      </c>
      <c r="K10" s="11">
        <f>STDEV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</f>
        <v>8.0509105677772239E-2</v>
      </c>
      <c r="L10" s="11">
        <f>MAX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-MIN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</f>
        <v>0.26245715455708157</v>
      </c>
      <c r="M10" s="11">
        <f>MAX(MAX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,-MIN(Variacion_vs_Libre!H155,Variacion_vs_Libre!H156,Variacion_vs_Libre!H157,Variacion_vs_Libre!H158,Variacion_vs_Libre!H159,Variacion_vs_Libre!H160,Variacion_vs_Libre!H161,Variacion_vs_Libre!H162,Variacion_vs_Libre!H163,Variacion_vs_Libre!H164,Variacion_vs_Libre!H165,Variacion_vs_Libre!H166,Variacion_vs_Libre!H167,Variacion_vs_Libre!H168,Variacion_vs_Libre!H169,Variacion_vs_Libre!H170,Variacion_vs_Libre!H171,Variacion_vs_Libre!H172))</f>
        <v>0.26086369991154068</v>
      </c>
      <c r="N10" s="11">
        <f>AVERAGE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</f>
        <v>5.372215030298981E-2</v>
      </c>
      <c r="O10" s="11">
        <f>STDEV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</f>
        <v>0.12437578617813876</v>
      </c>
      <c r="P10" s="11">
        <f>MAX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-MIN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</f>
        <v>0.37281869598739875</v>
      </c>
      <c r="Q10" s="11">
        <f>MAX(MAX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,-MIN(Variacion_vs_Libre!L155,Variacion_vs_Libre!L156,Variacion_vs_Libre!L157,Variacion_vs_Libre!L158,Variacion_vs_Libre!L159,Variacion_vs_Libre!L160,Variacion_vs_Libre!L161,Variacion_vs_Libre!L162,Variacion_vs_Libre!L163,Variacion_vs_Libre!L164,Variacion_vs_Libre!L165,Variacion_vs_Libre!L166,Variacion_vs_Libre!L167,Variacion_vs_Libre!L168,Variacion_vs_Libre!L169,Variacion_vs_Libre!L170,Variacion_vs_Libre!L171,Variacion_vs_Libre!L172))</f>
        <v>0.29100802819043398</v>
      </c>
    </row>
    <row r="11" spans="1:17" x14ac:dyDescent="0.3">
      <c r="A11" s="4">
        <v>198000</v>
      </c>
      <c r="B11" s="11">
        <f>AVERAGE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</f>
        <v>-6.6396603361662152E-5</v>
      </c>
      <c r="C11" s="11">
        <f>STDEV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</f>
        <v>2.8169693090870896E-4</v>
      </c>
      <c r="D11" s="11">
        <f>MAX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-MIN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</f>
        <v>1.1951388605099186E-3</v>
      </c>
      <c r="E11" s="11">
        <f>MAX(MAX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,-MIN(Variacion_vs_Libre!D174,Variacion_vs_Libre!D175,Variacion_vs_Libre!D176,Variacion_vs_Libre!D177,Variacion_vs_Libre!D178,Variacion_vs_Libre!D179,Variacion_vs_Libre!D180,Variacion_vs_Libre!D181,Variacion_vs_Libre!D182,Variacion_vs_Libre!D183,Variacion_vs_Libre!D184,Variacion_vs_Libre!D185,Variacion_vs_Libre!D186,Variacion_vs_Libre!D187,Variacion_vs_Libre!D188,Variacion_vs_Libre!D189,Variacion_vs_Libre!D190,Variacion_vs_Libre!D191))</f>
        <v>1.1951388605099186E-3</v>
      </c>
      <c r="F11" s="11">
        <f>AVERAGE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</f>
        <v>2.0137337781371575E-4</v>
      </c>
      <c r="G11" s="11">
        <f>STDEV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</f>
        <v>8.5435488601511434E-4</v>
      </c>
      <c r="H11" s="11">
        <f>MAX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-MIN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</f>
        <v>3.6247208006468835E-3</v>
      </c>
      <c r="I11" s="11">
        <f>MAX(MAX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,-MIN(Variacion_vs_Libre!F174,Variacion_vs_Libre!F175,Variacion_vs_Libre!F176,Variacion_vs_Libre!F177,Variacion_vs_Libre!F178,Variacion_vs_Libre!F179,Variacion_vs_Libre!F180,Variacion_vs_Libre!F181,Variacion_vs_Libre!F182,Variacion_vs_Libre!F183,Variacion_vs_Libre!F184,Variacion_vs_Libre!F185,Variacion_vs_Libre!F186,Variacion_vs_Libre!F187,Variacion_vs_Libre!F188,Variacion_vs_Libre!F189,Variacion_vs_Libre!F190,Variacion_vs_Libre!F191))</f>
        <v>3.6247208006468835E-3</v>
      </c>
      <c r="J11" s="11">
        <f>AVERAGE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</f>
        <v>-5.684966032959328E-2</v>
      </c>
      <c r="K11" s="11">
        <f>STDEV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</f>
        <v>8.2726407354877823E-2</v>
      </c>
      <c r="L11" s="11">
        <f>MAX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-MIN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</f>
        <v>0.27060754489473043</v>
      </c>
      <c r="M11" s="11">
        <f>MAX(MAX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,-MIN(Variacion_vs_Libre!H174,Variacion_vs_Libre!H175,Variacion_vs_Libre!H176,Variacion_vs_Libre!H177,Variacion_vs_Libre!H178,Variacion_vs_Libre!H179,Variacion_vs_Libre!H180,Variacion_vs_Libre!H181,Variacion_vs_Libre!H182,Variacion_vs_Libre!H183,Variacion_vs_Libre!H184,Variacion_vs_Libre!H185,Variacion_vs_Libre!H186,Variacion_vs_Libre!H187,Variacion_vs_Libre!H188,Variacion_vs_Libre!H189,Variacion_vs_Libre!H190,Variacion_vs_Libre!H191))</f>
        <v>0.27060754489473043</v>
      </c>
      <c r="N11" s="11">
        <f>AVERAGE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</f>
        <v>0.11005312210866028</v>
      </c>
      <c r="O11" s="11">
        <f>STDEV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</f>
        <v>0.14041402266001921</v>
      </c>
      <c r="P11" s="11">
        <f>MAX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-MIN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</f>
        <v>0.4229723110664777</v>
      </c>
      <c r="Q11" s="11">
        <f>MAX(MAX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,-MIN(Variacion_vs_Libre!L174,Variacion_vs_Libre!L175,Variacion_vs_Libre!L176,Variacion_vs_Libre!L177,Variacion_vs_Libre!L178,Variacion_vs_Libre!L179,Variacion_vs_Libre!L180,Variacion_vs_Libre!L181,Variacion_vs_Libre!L182,Variacion_vs_Libre!L183,Variacion_vs_Libre!L184,Variacion_vs_Libre!L185,Variacion_vs_Libre!L186,Variacion_vs_Libre!L187,Variacion_vs_Libre!L188,Variacion_vs_Libre!L189,Variacion_vs_Libre!L190,Variacion_vs_Libre!L191))</f>
        <v>0.37609592537659664</v>
      </c>
    </row>
    <row r="12" spans="1:17" x14ac:dyDescent="0.3">
      <c r="A12" s="4">
        <v>231000</v>
      </c>
      <c r="B12" s="11">
        <f>AVERAGE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</f>
        <v>-3.0954835228611576E-6</v>
      </c>
      <c r="C12" s="11">
        <f>STDEV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</f>
        <v>1.3133024340398089E-5</v>
      </c>
      <c r="D12" s="11">
        <f>MAX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-MIN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</f>
        <v>5.5718703411500837E-5</v>
      </c>
      <c r="E12" s="11">
        <f>MAX(MAX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,-MIN(Variacion_vs_Libre!D193,Variacion_vs_Libre!D194,Variacion_vs_Libre!D195,Variacion_vs_Libre!D196,Variacion_vs_Libre!D197,Variacion_vs_Libre!D198,Variacion_vs_Libre!D199,Variacion_vs_Libre!D200,Variacion_vs_Libre!D201,Variacion_vs_Libre!D202,Variacion_vs_Libre!D203,Variacion_vs_Libre!D204,Variacion_vs_Libre!D205,Variacion_vs_Libre!D206,Variacion_vs_Libre!D207,Variacion_vs_Libre!D208,Variacion_vs_Libre!D209,Variacion_vs_Libre!D210))</f>
        <v>5.5718703411500837E-5</v>
      </c>
      <c r="F12" s="11">
        <f>AVERAGE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</f>
        <v>1.0648837824095505E-5</v>
      </c>
      <c r="G12" s="11">
        <f>STDEV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</f>
        <v>4.5179192623042397E-5</v>
      </c>
      <c r="H12" s="11">
        <f>MAX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-MIN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</f>
        <v>1.9167908083371908E-4</v>
      </c>
      <c r="I12" s="11">
        <f>MAX(MAX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,-MIN(Variacion_vs_Libre!F193,Variacion_vs_Libre!F194,Variacion_vs_Libre!F195,Variacion_vs_Libre!F196,Variacion_vs_Libre!F197,Variacion_vs_Libre!F198,Variacion_vs_Libre!F199,Variacion_vs_Libre!F200,Variacion_vs_Libre!F201,Variacion_vs_Libre!F202,Variacion_vs_Libre!F203,Variacion_vs_Libre!F204,Variacion_vs_Libre!F205,Variacion_vs_Libre!F206,Variacion_vs_Libre!F207,Variacion_vs_Libre!F208,Variacion_vs_Libre!F209,Variacion_vs_Libre!F210))</f>
        <v>1.9167908083371908E-4</v>
      </c>
      <c r="J12" s="11">
        <f>AVERAGE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</f>
        <v>-5.944712233270591E-2</v>
      </c>
      <c r="K12" s="11">
        <f>STDEV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</f>
        <v>8.3790509343000669E-2</v>
      </c>
      <c r="L12" s="11">
        <f>MAX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-MIN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</f>
        <v>0.27627121573789837</v>
      </c>
      <c r="M12" s="11">
        <f>MAX(MAX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,-MIN(Variacion_vs_Libre!H193,Variacion_vs_Libre!H194,Variacion_vs_Libre!H195,Variacion_vs_Libre!H196,Variacion_vs_Libre!H197,Variacion_vs_Libre!H198,Variacion_vs_Libre!H199,Variacion_vs_Libre!H200,Variacion_vs_Libre!H201,Variacion_vs_Libre!H202,Variacion_vs_Libre!H203,Variacion_vs_Libre!H204,Variacion_vs_Libre!H205,Variacion_vs_Libre!H206,Variacion_vs_Libre!H207,Variacion_vs_Libre!H208,Variacion_vs_Libre!H209,Variacion_vs_Libre!H210))</f>
        <v>0.27627121573789837</v>
      </c>
      <c r="N12" s="11">
        <f>AVERAGE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</f>
        <v>0.14906636188932729</v>
      </c>
      <c r="O12" s="11">
        <f>STDEV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</f>
        <v>0.15307363627887033</v>
      </c>
      <c r="P12" s="11">
        <f>MAX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-MIN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</f>
        <v>0.46345658128735978</v>
      </c>
      <c r="Q12" s="11">
        <f>MAX(MAX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,-MIN(Variacion_vs_Libre!L193,Variacion_vs_Libre!L194,Variacion_vs_Libre!L195,Variacion_vs_Libre!L196,Variacion_vs_Libre!L197,Variacion_vs_Libre!L198,Variacion_vs_Libre!L199,Variacion_vs_Libre!L200,Variacion_vs_Libre!L201,Variacion_vs_Libre!L202,Variacion_vs_Libre!L203,Variacion_vs_Libre!L204,Variacion_vs_Libre!L205,Variacion_vs_Libre!L206,Variacion_vs_Libre!L207,Variacion_vs_Libre!L208,Variacion_vs_Libre!L209,Variacion_vs_Libre!L210))</f>
        <v>0.43743425253922885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9"/>
  <sheetViews>
    <sheetView topLeftCell="K1" zoomScale="112" zoomScaleNormal="112" workbookViewId="0">
      <selection activeCell="Y33" sqref="Y33"/>
    </sheetView>
  </sheetViews>
  <sheetFormatPr baseColWidth="10" defaultColWidth="8.88671875" defaultRowHeight="14.4" x14ac:dyDescent="0.3"/>
  <cols>
    <col min="1" max="17" width="15" style="4" customWidth="1"/>
    <col min="18" max="16384" width="8.88671875" style="4"/>
  </cols>
  <sheetData>
    <row r="1" spans="1:17" ht="42" x14ac:dyDescent="0.3">
      <c r="A1" s="3" t="s">
        <v>2</v>
      </c>
      <c r="B1" s="3" t="s">
        <v>246</v>
      </c>
      <c r="C1" s="3" t="s">
        <v>247</v>
      </c>
      <c r="D1" s="3" t="s">
        <v>248</v>
      </c>
      <c r="E1" s="3" t="s">
        <v>249</v>
      </c>
      <c r="F1" s="3" t="s">
        <v>250</v>
      </c>
      <c r="G1" s="3" t="s">
        <v>251</v>
      </c>
      <c r="H1" s="3" t="s">
        <v>252</v>
      </c>
      <c r="I1" s="3" t="s">
        <v>253</v>
      </c>
      <c r="J1" s="3" t="s">
        <v>254</v>
      </c>
      <c r="K1" s="3" t="s">
        <v>255</v>
      </c>
      <c r="L1" s="3" t="s">
        <v>256</v>
      </c>
      <c r="M1" s="3" t="s">
        <v>257</v>
      </c>
      <c r="N1" s="3" t="s">
        <v>258</v>
      </c>
      <c r="O1" s="3" t="s">
        <v>259</v>
      </c>
      <c r="P1" s="3" t="s">
        <v>260</v>
      </c>
      <c r="Q1" s="3" t="s">
        <v>261</v>
      </c>
    </row>
    <row r="2" spans="1:17" x14ac:dyDescent="0.3">
      <c r="A2" s="4" t="s">
        <v>15</v>
      </c>
      <c r="B2" s="11">
        <f>AVERAGE(Variacion_vs_Libre!D3,Variacion_vs_Libre!D22,Variacion_vs_Libre!D41,Variacion_vs_Libre!D60,Variacion_vs_Libre!D79,Variacion_vs_Libre!D98,Variacion_vs_Libre!D117,Variacion_vs_Libre!D136,Variacion_vs_Libre!D155,Variacion_vs_Libre!D174,Variacion_vs_Libre!D193)</f>
        <v>-4.3511366741472442E-2</v>
      </c>
      <c r="C2" s="11">
        <f>STDEV(Variacion_vs_Libre!D3,Variacion_vs_Libre!D22,Variacion_vs_Libre!D41,Variacion_vs_Libre!D60,Variacion_vs_Libre!D79,Variacion_vs_Libre!D98,Variacion_vs_Libre!D117,Variacion_vs_Libre!D136,Variacion_vs_Libre!D155,Variacion_vs_Libre!D174,Variacion_vs_Libre!D193)</f>
        <v>5.1659755739538134E-2</v>
      </c>
      <c r="D2" s="11">
        <f>MAX(Variacion_vs_Libre!D3,Variacion_vs_Libre!D22,Variacion_vs_Libre!D41,Variacion_vs_Libre!D60,Variacion_vs_Libre!D79,Variacion_vs_Libre!D98,Variacion_vs_Libre!D117,Variacion_vs_Libre!D136,Variacion_vs_Libre!D155,Variacion_vs_Libre!D174,Variacion_vs_Libre!D193)-MIN(Variacion_vs_Libre!D3,Variacion_vs_Libre!D22,Variacion_vs_Libre!D41,Variacion_vs_Libre!D60,Variacion_vs_Libre!D79,Variacion_vs_Libre!D98,Variacion_vs_Libre!D117,Variacion_vs_Libre!D136,Variacion_vs_Libre!D155,Variacion_vs_Libre!D174,Variacion_vs_Libre!D193)</f>
        <v>0.14336056899294616</v>
      </c>
      <c r="E2" s="11">
        <f>MAX(MAX(Variacion_vs_Libre!D3,Variacion_vs_Libre!D22,Variacion_vs_Libre!D41,Variacion_vs_Libre!D60,Variacion_vs_Libre!D79,Variacion_vs_Libre!D98,Variacion_vs_Libre!D117,Variacion_vs_Libre!D136,Variacion_vs_Libre!D155,Variacion_vs_Libre!D174,Variacion_vs_Libre!D193),-MIN(Variacion_vs_Libre!D3,Variacion_vs_Libre!D22,Variacion_vs_Libre!D41,Variacion_vs_Libre!D60,Variacion_vs_Libre!D79,Variacion_vs_Libre!D98,Variacion_vs_Libre!D117,Variacion_vs_Libre!D136,Variacion_vs_Libre!D155,Variacion_vs_Libre!D174,Variacion_vs_Libre!D193))</f>
        <v>0.14341628769635767</v>
      </c>
      <c r="F2" s="11">
        <f>AVERAGE(Variacion_vs_Libre!F3,Variacion_vs_Libre!F22,Variacion_vs_Libre!F41,Variacion_vs_Libre!F60,Variacion_vs_Libre!F79,Variacion_vs_Libre!F98,Variacion_vs_Libre!F117,Variacion_vs_Libre!F136,Variacion_vs_Libre!F155,Variacion_vs_Libre!F174,Variacion_vs_Libre!F193)</f>
        <v>0.35843461662623788</v>
      </c>
      <c r="G2" s="11">
        <f>STDEV(Variacion_vs_Libre!F3,Variacion_vs_Libre!F22,Variacion_vs_Libre!F41,Variacion_vs_Libre!F60,Variacion_vs_Libre!F79,Variacion_vs_Libre!F98,Variacion_vs_Libre!F117,Variacion_vs_Libre!F136,Variacion_vs_Libre!F155,Variacion_vs_Libre!F174,Variacion_vs_Libre!F193)</f>
        <v>0.35982450284057554</v>
      </c>
      <c r="H2" s="11">
        <f>MAX(Variacion_vs_Libre!F3,Variacion_vs_Libre!F22,Variacion_vs_Libre!F41,Variacion_vs_Libre!F60,Variacion_vs_Libre!F79,Variacion_vs_Libre!F98,Variacion_vs_Libre!F117,Variacion_vs_Libre!F136,Variacion_vs_Libre!F155,Variacion_vs_Libre!F174,Variacion_vs_Libre!F193)-MIN(Variacion_vs_Libre!F3,Variacion_vs_Libre!F22,Variacion_vs_Libre!F41,Variacion_vs_Libre!F60,Variacion_vs_Libre!F79,Variacion_vs_Libre!F98,Variacion_vs_Libre!F117,Variacion_vs_Libre!F136,Variacion_vs_Libre!F155,Variacion_vs_Libre!F174,Variacion_vs_Libre!F193)</f>
        <v>1.2854495946402282</v>
      </c>
      <c r="I2" s="11">
        <f>MAX(MAX(Variacion_vs_Libre!F3,Variacion_vs_Libre!F22,Variacion_vs_Libre!F41,Variacion_vs_Libre!F60,Variacion_vs_Libre!F79,Variacion_vs_Libre!F98,Variacion_vs_Libre!F117,Variacion_vs_Libre!F136,Variacion_vs_Libre!F155,Variacion_vs_Libre!F174,Variacion_vs_Libre!F193),-MIN(Variacion_vs_Libre!F3,Variacion_vs_Libre!F22,Variacion_vs_Libre!F41,Variacion_vs_Libre!F60,Variacion_vs_Libre!F79,Variacion_vs_Libre!F98,Variacion_vs_Libre!F117,Variacion_vs_Libre!F136,Variacion_vs_Libre!F155,Variacion_vs_Libre!F174,Variacion_vs_Libre!F193))</f>
        <v>1.2856412737210619</v>
      </c>
      <c r="J2" s="11">
        <f>AVERAGE(Variacion_vs_Libre!H3,Variacion_vs_Libre!H22,Variacion_vs_Libre!H41,Variacion_vs_Libre!H60,Variacion_vs_Libre!H79,Variacion_vs_Libre!H98,Variacion_vs_Libre!H117,Variacion_vs_Libre!H136,Variacion_vs_Libre!H155,Variacion_vs_Libre!H174,Variacion_vs_Libre!H193)</f>
        <v>-0.23172053144196678</v>
      </c>
      <c r="K2" s="11">
        <f>STDEV(Variacion_vs_Libre!H3,Variacion_vs_Libre!H22,Variacion_vs_Libre!H41,Variacion_vs_Libre!H60,Variacion_vs_Libre!H79,Variacion_vs_Libre!H98,Variacion_vs_Libre!H117,Variacion_vs_Libre!H136,Variacion_vs_Libre!H155,Variacion_vs_Libre!H174,Variacion_vs_Libre!H193)</f>
        <v>3.2243092968528231E-2</v>
      </c>
      <c r="L2" s="11">
        <f>MAX(Variacion_vs_Libre!H3,Variacion_vs_Libre!H22,Variacion_vs_Libre!H41,Variacion_vs_Libre!H60,Variacion_vs_Libre!H79,Variacion_vs_Libre!H98,Variacion_vs_Libre!H117,Variacion_vs_Libre!H136,Variacion_vs_Libre!H155,Variacion_vs_Libre!H174,Variacion_vs_Libre!H193)-MIN(Variacion_vs_Libre!H3,Variacion_vs_Libre!H22,Variacion_vs_Libre!H41,Variacion_vs_Libre!H60,Variacion_vs_Libre!H79,Variacion_vs_Libre!H98,Variacion_vs_Libre!H117,Variacion_vs_Libre!H136,Variacion_vs_Libre!H155,Variacion_vs_Libre!H174,Variacion_vs_Libre!H193)</f>
        <v>9.9134421431861602E-2</v>
      </c>
      <c r="M2" s="11">
        <f>MAX(MAX(Variacion_vs_Libre!H3,Variacion_vs_Libre!H22,Variacion_vs_Libre!H41,Variacion_vs_Libre!H60,Variacion_vs_Libre!H79,Variacion_vs_Libre!H98,Variacion_vs_Libre!H117,Variacion_vs_Libre!H136,Variacion_vs_Libre!H155,Variacion_vs_Libre!H174,Variacion_vs_Libre!H193),-MIN(Variacion_vs_Libre!H3,Variacion_vs_Libre!H22,Variacion_vs_Libre!H41,Variacion_vs_Libre!H60,Variacion_vs_Libre!H79,Variacion_vs_Libre!H98,Variacion_vs_Libre!H117,Variacion_vs_Libre!H136,Variacion_vs_Libre!H155,Variacion_vs_Libre!H174,Variacion_vs_Libre!H193))</f>
        <v>0.27627121573789837</v>
      </c>
      <c r="N2" s="11">
        <f>AVERAGE(Variacion_vs_Libre!L3,Variacion_vs_Libre!L22,Variacion_vs_Libre!L41,Variacion_vs_Libre!L60,Variacion_vs_Libre!L79,Variacion_vs_Libre!L98,Variacion_vs_Libre!L117,Variacion_vs_Libre!L136,Variacion_vs_Libre!L155,Variacion_vs_Libre!L174,Variacion_vs_Libre!L193)</f>
        <v>6.6674749814618517E-2</v>
      </c>
      <c r="O2" s="11">
        <f>STDEV(Variacion_vs_Libre!L3,Variacion_vs_Libre!L22,Variacion_vs_Libre!L41,Variacion_vs_Libre!L60,Variacion_vs_Libre!L79,Variacion_vs_Libre!L98,Variacion_vs_Libre!L117,Variacion_vs_Libre!L136,Variacion_vs_Libre!L155,Variacion_vs_Libre!L174,Variacion_vs_Libre!L193)</f>
        <v>0.23593969987273108</v>
      </c>
      <c r="P2" s="11">
        <f>MAX(Variacion_vs_Libre!L3,Variacion_vs_Libre!L22,Variacion_vs_Libre!L41,Variacion_vs_Libre!L60,Variacion_vs_Libre!L79,Variacion_vs_Libre!L98,Variacion_vs_Libre!L117,Variacion_vs_Libre!L136,Variacion_vs_Libre!L155,Variacion_vs_Libre!L174,Variacion_vs_Libre!L193)-MIN(Variacion_vs_Libre!L3,Variacion_vs_Libre!L22,Variacion_vs_Libre!L41,Variacion_vs_Libre!L60,Variacion_vs_Libre!L79,Variacion_vs_Libre!L98,Variacion_vs_Libre!L117,Variacion_vs_Libre!L136,Variacion_vs_Libre!L155,Variacion_vs_Libre!L174,Variacion_vs_Libre!L193)</f>
        <v>0.69003474772819606</v>
      </c>
      <c r="Q2" s="11">
        <f>MAX(MAX(Variacion_vs_Libre!L3,Variacion_vs_Libre!L22,Variacion_vs_Libre!L41,Variacion_vs_Libre!L60,Variacion_vs_Libre!L79,Variacion_vs_Libre!L98,Variacion_vs_Libre!L117,Variacion_vs_Libre!L136,Variacion_vs_Libre!L155,Variacion_vs_Libre!L174,Variacion_vs_Libre!L193),-MIN(Variacion_vs_Libre!L3,Variacion_vs_Libre!L22,Variacion_vs_Libre!L41,Variacion_vs_Libre!L60,Variacion_vs_Libre!L79,Variacion_vs_Libre!L98,Variacion_vs_Libre!L117,Variacion_vs_Libre!L136,Variacion_vs_Libre!L155,Variacion_vs_Libre!L174,Variacion_vs_Libre!L193))</f>
        <v>0.43743425253922885</v>
      </c>
    </row>
    <row r="3" spans="1:17" x14ac:dyDescent="0.3">
      <c r="A3" s="4" t="s">
        <v>17</v>
      </c>
      <c r="B3" s="11">
        <f>AVERAGE(Variacion_vs_Libre!D4,Variacion_vs_Libre!D23,Variacion_vs_Libre!D42,Variacion_vs_Libre!D61,Variacion_vs_Libre!D80,Variacion_vs_Libre!D99,Variacion_vs_Libre!D118,Variacion_vs_Libre!D137,Variacion_vs_Libre!D156,Variacion_vs_Libre!D175,Variacion_vs_Libre!D194)</f>
        <v>-1.9152733832186585E-2</v>
      </c>
      <c r="C3" s="11">
        <f>STDEV(Variacion_vs_Libre!D4,Variacion_vs_Libre!D23,Variacion_vs_Libre!D42,Variacion_vs_Libre!D61,Variacion_vs_Libre!D80,Variacion_vs_Libre!D99,Variacion_vs_Libre!D118,Variacion_vs_Libre!D137,Variacion_vs_Libre!D156,Variacion_vs_Libre!D175,Variacion_vs_Libre!D194)</f>
        <v>2.3438272107434089E-2</v>
      </c>
      <c r="D3" s="11">
        <f>MAX(Variacion_vs_Libre!D4,Variacion_vs_Libre!D23,Variacion_vs_Libre!D42,Variacion_vs_Libre!D61,Variacion_vs_Libre!D80,Variacion_vs_Libre!D99,Variacion_vs_Libre!D118,Variacion_vs_Libre!D137,Variacion_vs_Libre!D156,Variacion_vs_Libre!D175,Variacion_vs_Libre!D194)-MIN(Variacion_vs_Libre!D4,Variacion_vs_Libre!D23,Variacion_vs_Libre!D42,Variacion_vs_Libre!D61,Variacion_vs_Libre!D80,Variacion_vs_Libre!D99,Variacion_vs_Libre!D118,Variacion_vs_Libre!D137,Variacion_vs_Libre!D156,Variacion_vs_Libre!D175,Variacion_vs_Libre!D194)</f>
        <v>6.0526566280379807E-2</v>
      </c>
      <c r="E3" s="11">
        <f>MAX(MAX(Variacion_vs_Libre!D4,Variacion_vs_Libre!D23,Variacion_vs_Libre!D42,Variacion_vs_Libre!D61,Variacion_vs_Libre!D80,Variacion_vs_Libre!D99,Variacion_vs_Libre!D118,Variacion_vs_Libre!D137,Variacion_vs_Libre!D156,Variacion_vs_Libre!D175,Variacion_vs_Libre!D194),-MIN(Variacion_vs_Libre!D4,Variacion_vs_Libre!D23,Variacion_vs_Libre!D42,Variacion_vs_Libre!D61,Variacion_vs_Libre!D80,Variacion_vs_Libre!D99,Variacion_vs_Libre!D118,Variacion_vs_Libre!D137,Variacion_vs_Libre!D156,Variacion_vs_Libre!D175,Variacion_vs_Libre!D194))</f>
        <v>6.0526566280379807E-2</v>
      </c>
      <c r="F3" s="11">
        <f>AVERAGE(Variacion_vs_Libre!F4,Variacion_vs_Libre!F23,Variacion_vs_Libre!F42,Variacion_vs_Libre!F61,Variacion_vs_Libre!F80,Variacion_vs_Libre!F99,Variacion_vs_Libre!F118,Variacion_vs_Libre!F137,Variacion_vs_Libre!F156,Variacion_vs_Libre!F175,Variacion_vs_Libre!F194)</f>
        <v>0.24481029103930049</v>
      </c>
      <c r="G3" s="11">
        <f>STDEV(Variacion_vs_Libre!F4,Variacion_vs_Libre!F23,Variacion_vs_Libre!F42,Variacion_vs_Libre!F61,Variacion_vs_Libre!F80,Variacion_vs_Libre!F99,Variacion_vs_Libre!F118,Variacion_vs_Libre!F137,Variacion_vs_Libre!F156,Variacion_vs_Libre!F175,Variacion_vs_Libre!F194)</f>
        <v>0.26837474493009256</v>
      </c>
      <c r="H3" s="11">
        <f>MAX(Variacion_vs_Libre!F4,Variacion_vs_Libre!F23,Variacion_vs_Libre!F42,Variacion_vs_Libre!F61,Variacion_vs_Libre!F80,Variacion_vs_Libre!F99,Variacion_vs_Libre!F118,Variacion_vs_Libre!F137,Variacion_vs_Libre!F156,Variacion_vs_Libre!F175,Variacion_vs_Libre!F194)-MIN(Variacion_vs_Libre!F4,Variacion_vs_Libre!F23,Variacion_vs_Libre!F42,Variacion_vs_Libre!F61,Variacion_vs_Libre!F80,Variacion_vs_Libre!F99,Variacion_vs_Libre!F118,Variacion_vs_Libre!F137,Variacion_vs_Libre!F156,Variacion_vs_Libre!F175,Variacion_vs_Libre!F194)</f>
        <v>0.65253865320889193</v>
      </c>
      <c r="I3" s="11">
        <f>MAX(MAX(Variacion_vs_Libre!F4,Variacion_vs_Libre!F23,Variacion_vs_Libre!F42,Variacion_vs_Libre!F61,Variacion_vs_Libre!F80,Variacion_vs_Libre!F99,Variacion_vs_Libre!F118,Variacion_vs_Libre!F137,Variacion_vs_Libre!F156,Variacion_vs_Libre!F175,Variacion_vs_Libre!F194),-MIN(Variacion_vs_Libre!F4,Variacion_vs_Libre!F23,Variacion_vs_Libre!F42,Variacion_vs_Libre!F61,Variacion_vs_Libre!F80,Variacion_vs_Libre!F99,Variacion_vs_Libre!F118,Variacion_vs_Libre!F137,Variacion_vs_Libre!F156,Variacion_vs_Libre!F175,Variacion_vs_Libre!F194))</f>
        <v>0.65253865320889193</v>
      </c>
      <c r="J3" s="11">
        <f>AVERAGE(Variacion_vs_Libre!H4,Variacion_vs_Libre!H23,Variacion_vs_Libre!H42,Variacion_vs_Libre!H61,Variacion_vs_Libre!H80,Variacion_vs_Libre!H99,Variacion_vs_Libre!H118,Variacion_vs_Libre!H137,Variacion_vs_Libre!H156,Variacion_vs_Libre!H175,Variacion_vs_Libre!H194)</f>
        <v>-0.18435162616984055</v>
      </c>
      <c r="K3" s="11">
        <f>STDEV(Variacion_vs_Libre!H4,Variacion_vs_Libre!H23,Variacion_vs_Libre!H42,Variacion_vs_Libre!H61,Variacion_vs_Libre!H80,Variacion_vs_Libre!H99,Variacion_vs_Libre!H118,Variacion_vs_Libre!H137,Variacion_vs_Libre!H156,Variacion_vs_Libre!H175,Variacion_vs_Libre!H194)</f>
        <v>2.7379014874402127E-2</v>
      </c>
      <c r="L3" s="11">
        <f>MAX(Variacion_vs_Libre!H4,Variacion_vs_Libre!H23,Variacion_vs_Libre!H42,Variacion_vs_Libre!H61,Variacion_vs_Libre!H80,Variacion_vs_Libre!H99,Variacion_vs_Libre!H118,Variacion_vs_Libre!H137,Variacion_vs_Libre!H156,Variacion_vs_Libre!H175,Variacion_vs_Libre!H194)-MIN(Variacion_vs_Libre!H4,Variacion_vs_Libre!H23,Variacion_vs_Libre!H42,Variacion_vs_Libre!H61,Variacion_vs_Libre!H80,Variacion_vs_Libre!H99,Variacion_vs_Libre!H118,Variacion_vs_Libre!H137,Variacion_vs_Libre!H156,Variacion_vs_Libre!H175,Variacion_vs_Libre!H194)</f>
        <v>8.453473761879024E-2</v>
      </c>
      <c r="M3" s="11">
        <f>MAX(MAX(Variacion_vs_Libre!H4,Variacion_vs_Libre!H23,Variacion_vs_Libre!H42,Variacion_vs_Libre!H61,Variacion_vs_Libre!H80,Variacion_vs_Libre!H99,Variacion_vs_Libre!H118,Variacion_vs_Libre!H137,Variacion_vs_Libre!H156,Variacion_vs_Libre!H175,Variacion_vs_Libre!H194),-MIN(Variacion_vs_Libre!H4,Variacion_vs_Libre!H23,Variacion_vs_Libre!H42,Variacion_vs_Libre!H61,Variacion_vs_Libre!H80,Variacion_vs_Libre!H99,Variacion_vs_Libre!H118,Variacion_vs_Libre!H137,Variacion_vs_Libre!H156,Variacion_vs_Libre!H175,Variacion_vs_Libre!H194))</f>
        <v>0.22175664079800517</v>
      </c>
      <c r="N3" s="11">
        <f>AVERAGE(Variacion_vs_Libre!L4,Variacion_vs_Libre!L23,Variacion_vs_Libre!L42,Variacion_vs_Libre!L61,Variacion_vs_Libre!L80,Variacion_vs_Libre!L99,Variacion_vs_Libre!L118,Variacion_vs_Libre!L137,Variacion_vs_Libre!L156,Variacion_vs_Libre!L175,Variacion_vs_Libre!L194)</f>
        <v>4.270483637025168E-2</v>
      </c>
      <c r="O3" s="11">
        <f>STDEV(Variacion_vs_Libre!L4,Variacion_vs_Libre!L23,Variacion_vs_Libre!L42,Variacion_vs_Libre!L61,Variacion_vs_Libre!L80,Variacion_vs_Libre!L99,Variacion_vs_Libre!L118,Variacion_vs_Libre!L137,Variacion_vs_Libre!L156,Variacion_vs_Libre!L175,Variacion_vs_Libre!L194)</f>
        <v>0.22781864244009248</v>
      </c>
      <c r="P3" s="11">
        <f>MAX(Variacion_vs_Libre!L4,Variacion_vs_Libre!L23,Variacion_vs_Libre!L42,Variacion_vs_Libre!L61,Variacion_vs_Libre!L80,Variacion_vs_Libre!L99,Variacion_vs_Libre!L118,Variacion_vs_Libre!L137,Variacion_vs_Libre!L156,Variacion_vs_Libre!L175,Variacion_vs_Libre!L194)-MIN(Variacion_vs_Libre!L4,Variacion_vs_Libre!L23,Variacion_vs_Libre!L42,Variacion_vs_Libre!L61,Variacion_vs_Libre!L80,Variacion_vs_Libre!L99,Variacion_vs_Libre!L118,Variacion_vs_Libre!L137,Variacion_vs_Libre!L156,Variacion_vs_Libre!L175,Variacion_vs_Libre!L194)</f>
        <v>0.66632645719246308</v>
      </c>
      <c r="Q3" s="11">
        <f>MAX(MAX(Variacion_vs_Libre!L4,Variacion_vs_Libre!L23,Variacion_vs_Libre!L42,Variacion_vs_Libre!L61,Variacion_vs_Libre!L80,Variacion_vs_Libre!L99,Variacion_vs_Libre!L118,Variacion_vs_Libre!L137,Variacion_vs_Libre!L156,Variacion_vs_Libre!L175,Variacion_vs_Libre!L194),-MIN(Variacion_vs_Libre!L4,Variacion_vs_Libre!L23,Variacion_vs_Libre!L42,Variacion_vs_Libre!L61,Variacion_vs_Libre!L80,Variacion_vs_Libre!L99,Variacion_vs_Libre!L118,Variacion_vs_Libre!L137,Variacion_vs_Libre!L156,Variacion_vs_Libre!L175,Variacion_vs_Libre!L194))</f>
        <v>0.39986415476611198</v>
      </c>
    </row>
    <row r="4" spans="1:17" x14ac:dyDescent="0.3">
      <c r="A4" s="4" t="s">
        <v>19</v>
      </c>
      <c r="B4" s="11">
        <f>AVERAGE(Variacion_vs_Libre!D5,Variacion_vs_Libre!D24,Variacion_vs_Libre!D43,Variacion_vs_Libre!D62,Variacion_vs_Libre!D81,Variacion_vs_Libre!D100,Variacion_vs_Libre!D119,Variacion_vs_Libre!D138,Variacion_vs_Libre!D157,Variacion_vs_Libre!D176,Variacion_vs_Libre!D195)</f>
        <v>-3.3656539545014216E-3</v>
      </c>
      <c r="C4" s="11">
        <f>STDEV(Variacion_vs_Libre!D5,Variacion_vs_Libre!D24,Variacion_vs_Libre!D43,Variacion_vs_Libre!D62,Variacion_vs_Libre!D81,Variacion_vs_Libre!D100,Variacion_vs_Libre!D119,Variacion_vs_Libre!D138,Variacion_vs_Libre!D157,Variacion_vs_Libre!D176,Variacion_vs_Libre!D195)</f>
        <v>5.9691066030582744E-3</v>
      </c>
      <c r="D4" s="11">
        <f>MAX(Variacion_vs_Libre!D5,Variacion_vs_Libre!D24,Variacion_vs_Libre!D43,Variacion_vs_Libre!D62,Variacion_vs_Libre!D81,Variacion_vs_Libre!D100,Variacion_vs_Libre!D119,Variacion_vs_Libre!D138,Variacion_vs_Libre!D157,Variacion_vs_Libre!D176,Variacion_vs_Libre!D195)-MIN(Variacion_vs_Libre!D5,Variacion_vs_Libre!D24,Variacion_vs_Libre!D43,Variacion_vs_Libre!D62,Variacion_vs_Libre!D81,Variacion_vs_Libre!D100,Variacion_vs_Libre!D119,Variacion_vs_Libre!D138,Variacion_vs_Libre!D157,Variacion_vs_Libre!D176,Variacion_vs_Libre!D195)</f>
        <v>1.6163243502807963E-2</v>
      </c>
      <c r="E4" s="11">
        <f>MAX(MAX(Variacion_vs_Libre!D5,Variacion_vs_Libre!D24,Variacion_vs_Libre!D43,Variacion_vs_Libre!D62,Variacion_vs_Libre!D81,Variacion_vs_Libre!D100,Variacion_vs_Libre!D119,Variacion_vs_Libre!D138,Variacion_vs_Libre!D157,Variacion_vs_Libre!D176,Variacion_vs_Libre!D195),-MIN(Variacion_vs_Libre!D5,Variacion_vs_Libre!D24,Variacion_vs_Libre!D43,Variacion_vs_Libre!D62,Variacion_vs_Libre!D81,Variacion_vs_Libre!D100,Variacion_vs_Libre!D119,Variacion_vs_Libre!D138,Variacion_vs_Libre!D157,Variacion_vs_Libre!D176,Variacion_vs_Libre!D195))</f>
        <v>1.6163243502807963E-2</v>
      </c>
      <c r="F4" s="11">
        <f>AVERAGE(Variacion_vs_Libre!F5,Variacion_vs_Libre!F24,Variacion_vs_Libre!F43,Variacion_vs_Libre!F62,Variacion_vs_Libre!F81,Variacion_vs_Libre!F100,Variacion_vs_Libre!F119,Variacion_vs_Libre!F138,Variacion_vs_Libre!F157,Variacion_vs_Libre!F176,Variacion_vs_Libre!F195)</f>
        <v>5.8644312440070671E-2</v>
      </c>
      <c r="G4" s="11">
        <f>STDEV(Variacion_vs_Libre!F5,Variacion_vs_Libre!F24,Variacion_vs_Libre!F43,Variacion_vs_Libre!F62,Variacion_vs_Libre!F81,Variacion_vs_Libre!F100,Variacion_vs_Libre!F119,Variacion_vs_Libre!F138,Variacion_vs_Libre!F157,Variacion_vs_Libre!F176,Variacion_vs_Libre!F195)</f>
        <v>8.5532371618973452E-2</v>
      </c>
      <c r="H4" s="11">
        <f>MAX(Variacion_vs_Libre!F5,Variacion_vs_Libre!F24,Variacion_vs_Libre!F43,Variacion_vs_Libre!F62,Variacion_vs_Libre!F81,Variacion_vs_Libre!F100,Variacion_vs_Libre!F119,Variacion_vs_Libre!F138,Variacion_vs_Libre!F157,Variacion_vs_Libre!F176,Variacion_vs_Libre!F195)-MIN(Variacion_vs_Libre!F5,Variacion_vs_Libre!F24,Variacion_vs_Libre!F43,Variacion_vs_Libre!F62,Variacion_vs_Libre!F81,Variacion_vs_Libre!F100,Variacion_vs_Libre!F119,Variacion_vs_Libre!F138,Variacion_vs_Libre!F157,Variacion_vs_Libre!F176,Variacion_vs_Libre!F195)</f>
        <v>0.2036998103393606</v>
      </c>
      <c r="I4" s="11">
        <f>MAX(MAX(Variacion_vs_Libre!F5,Variacion_vs_Libre!F24,Variacion_vs_Libre!F43,Variacion_vs_Libre!F62,Variacion_vs_Libre!F81,Variacion_vs_Libre!F100,Variacion_vs_Libre!F119,Variacion_vs_Libre!F138,Variacion_vs_Libre!F157,Variacion_vs_Libre!F176,Variacion_vs_Libre!F195),-MIN(Variacion_vs_Libre!F5,Variacion_vs_Libre!F24,Variacion_vs_Libre!F43,Variacion_vs_Libre!F62,Variacion_vs_Libre!F81,Variacion_vs_Libre!F100,Variacion_vs_Libre!F119,Variacion_vs_Libre!F138,Variacion_vs_Libre!F157,Variacion_vs_Libre!F176,Variacion_vs_Libre!F195))</f>
        <v>0.2036998103393606</v>
      </c>
      <c r="J4" s="11">
        <f>AVERAGE(Variacion_vs_Libre!H5,Variacion_vs_Libre!H24,Variacion_vs_Libre!H43,Variacion_vs_Libre!H62,Variacion_vs_Libre!H81,Variacion_vs_Libre!H100,Variacion_vs_Libre!H119,Variacion_vs_Libre!H138,Variacion_vs_Libre!H157,Variacion_vs_Libre!H176,Variacion_vs_Libre!H195)</f>
        <v>-0.13431267357883089</v>
      </c>
      <c r="K4" s="11">
        <f>STDEV(Variacion_vs_Libre!H5,Variacion_vs_Libre!H24,Variacion_vs_Libre!H43,Variacion_vs_Libre!H62,Variacion_vs_Libre!H81,Variacion_vs_Libre!H100,Variacion_vs_Libre!H119,Variacion_vs_Libre!H138,Variacion_vs_Libre!H157,Variacion_vs_Libre!H176,Variacion_vs_Libre!H195)</f>
        <v>2.3190810272501274E-2</v>
      </c>
      <c r="L4" s="11">
        <f>MAX(Variacion_vs_Libre!H5,Variacion_vs_Libre!H24,Variacion_vs_Libre!H43,Variacion_vs_Libre!H62,Variacion_vs_Libre!H81,Variacion_vs_Libre!H100,Variacion_vs_Libre!H119,Variacion_vs_Libre!H138,Variacion_vs_Libre!H157,Variacion_vs_Libre!H176,Variacion_vs_Libre!H195)-MIN(Variacion_vs_Libre!H5,Variacion_vs_Libre!H24,Variacion_vs_Libre!H43,Variacion_vs_Libre!H62,Variacion_vs_Libre!H81,Variacion_vs_Libre!H100,Variacion_vs_Libre!H119,Variacion_vs_Libre!H138,Variacion_vs_Libre!H157,Variacion_vs_Libre!H176,Variacion_vs_Libre!H195)</f>
        <v>7.2137214563060922E-2</v>
      </c>
      <c r="M4" s="11">
        <f>MAX(MAX(Variacion_vs_Libre!H5,Variacion_vs_Libre!H24,Variacion_vs_Libre!H43,Variacion_vs_Libre!H62,Variacion_vs_Libre!H81,Variacion_vs_Libre!H100,Variacion_vs_Libre!H119,Variacion_vs_Libre!H138,Variacion_vs_Libre!H157,Variacion_vs_Libre!H176,Variacion_vs_Libre!H195),-MIN(Variacion_vs_Libre!H5,Variacion_vs_Libre!H24,Variacion_vs_Libre!H43,Variacion_vs_Libre!H62,Variacion_vs_Libre!H81,Variacion_vs_Libre!H100,Variacion_vs_Libre!H119,Variacion_vs_Libre!H138,Variacion_vs_Libre!H157,Variacion_vs_Libre!H176,Variacion_vs_Libre!H195))</f>
        <v>0.16541255106433356</v>
      </c>
      <c r="N4" s="11">
        <f>AVERAGE(Variacion_vs_Libre!L5,Variacion_vs_Libre!L24,Variacion_vs_Libre!L43,Variacion_vs_Libre!L62,Variacion_vs_Libre!L81,Variacion_vs_Libre!L100,Variacion_vs_Libre!L119,Variacion_vs_Libre!L138,Variacion_vs_Libre!L157,Variacion_vs_Libre!L176,Variacion_vs_Libre!L195)</f>
        <v>1.544937097730361E-2</v>
      </c>
      <c r="O4" s="11">
        <f>STDEV(Variacion_vs_Libre!L5,Variacion_vs_Libre!L24,Variacion_vs_Libre!L43,Variacion_vs_Libre!L62,Variacion_vs_Libre!L81,Variacion_vs_Libre!L100,Variacion_vs_Libre!L119,Variacion_vs_Libre!L138,Variacion_vs_Libre!L157,Variacion_vs_Libre!L176,Variacion_vs_Libre!L195)</f>
        <v>0.21845826281786138</v>
      </c>
      <c r="P4" s="11">
        <f>MAX(Variacion_vs_Libre!L5,Variacion_vs_Libre!L24,Variacion_vs_Libre!L43,Variacion_vs_Libre!L62,Variacion_vs_Libre!L81,Variacion_vs_Libre!L100,Variacion_vs_Libre!L119,Variacion_vs_Libre!L138,Variacion_vs_Libre!L157,Variacion_vs_Libre!L176,Variacion_vs_Libre!L195)-MIN(Variacion_vs_Libre!L5,Variacion_vs_Libre!L24,Variacion_vs_Libre!L43,Variacion_vs_Libre!L62,Variacion_vs_Libre!L81,Variacion_vs_Libre!L100,Variacion_vs_Libre!L119,Variacion_vs_Libre!L138,Variacion_vs_Libre!L157,Variacion_vs_Libre!L176,Variacion_vs_Libre!L195)</f>
        <v>0.63899475856194199</v>
      </c>
      <c r="Q4" s="11">
        <f>MAX(MAX(Variacion_vs_Libre!L5,Variacion_vs_Libre!L24,Variacion_vs_Libre!L43,Variacion_vs_Libre!L62,Variacion_vs_Libre!L81,Variacion_vs_Libre!L100,Variacion_vs_Libre!L119,Variacion_vs_Libre!L138,Variacion_vs_Libre!L157,Variacion_vs_Libre!L176,Variacion_vs_Libre!L195),-MIN(Variacion_vs_Libre!L5,Variacion_vs_Libre!L24,Variacion_vs_Libre!L43,Variacion_vs_Libre!L62,Variacion_vs_Libre!L81,Variacion_vs_Libre!L100,Variacion_vs_Libre!L119,Variacion_vs_Libre!L138,Variacion_vs_Libre!L157,Variacion_vs_Libre!L176,Variacion_vs_Libre!L195))</f>
        <v>0.35681676215957958</v>
      </c>
    </row>
    <row r="5" spans="1:17" x14ac:dyDescent="0.3">
      <c r="A5" s="4" t="s">
        <v>21</v>
      </c>
      <c r="B5" s="11">
        <f>AVERAGE(Variacion_vs_Libre!D6,Variacion_vs_Libre!D25,Variacion_vs_Libre!D44,Variacion_vs_Libre!D63,Variacion_vs_Libre!D82,Variacion_vs_Libre!D101,Variacion_vs_Libre!D120,Variacion_vs_Libre!D139,Variacion_vs_Libre!D158,Variacion_vs_Libre!D177,Variacion_vs_Libre!D196)</f>
        <v>0</v>
      </c>
      <c r="C5" s="11">
        <f>STDEV(Variacion_vs_Libre!D6,Variacion_vs_Libre!D25,Variacion_vs_Libre!D44,Variacion_vs_Libre!D63,Variacion_vs_Libre!D82,Variacion_vs_Libre!D101,Variacion_vs_Libre!D120,Variacion_vs_Libre!D139,Variacion_vs_Libre!D158,Variacion_vs_Libre!D177,Variacion_vs_Libre!D196)</f>
        <v>0</v>
      </c>
      <c r="D5" s="11">
        <f>MAX(Variacion_vs_Libre!D6,Variacion_vs_Libre!D25,Variacion_vs_Libre!D44,Variacion_vs_Libre!D63,Variacion_vs_Libre!D82,Variacion_vs_Libre!D101,Variacion_vs_Libre!D120,Variacion_vs_Libre!D139,Variacion_vs_Libre!D158,Variacion_vs_Libre!D177,Variacion_vs_Libre!D196)-MIN(Variacion_vs_Libre!D6,Variacion_vs_Libre!D25,Variacion_vs_Libre!D44,Variacion_vs_Libre!D63,Variacion_vs_Libre!D82,Variacion_vs_Libre!D101,Variacion_vs_Libre!D120,Variacion_vs_Libre!D139,Variacion_vs_Libre!D158,Variacion_vs_Libre!D177,Variacion_vs_Libre!D196)</f>
        <v>0</v>
      </c>
      <c r="E5" s="11">
        <f>MAX(MAX(Variacion_vs_Libre!D6,Variacion_vs_Libre!D25,Variacion_vs_Libre!D44,Variacion_vs_Libre!D63,Variacion_vs_Libre!D82,Variacion_vs_Libre!D101,Variacion_vs_Libre!D120,Variacion_vs_Libre!D139,Variacion_vs_Libre!D158,Variacion_vs_Libre!D177,Variacion_vs_Libre!D196),-MIN(Variacion_vs_Libre!D6,Variacion_vs_Libre!D25,Variacion_vs_Libre!D44,Variacion_vs_Libre!D63,Variacion_vs_Libre!D82,Variacion_vs_Libre!D101,Variacion_vs_Libre!D120,Variacion_vs_Libre!D139,Variacion_vs_Libre!D158,Variacion_vs_Libre!D177,Variacion_vs_Libre!D196))</f>
        <v>0</v>
      </c>
      <c r="F5" s="11">
        <f>AVERAGE(Variacion_vs_Libre!F6,Variacion_vs_Libre!F25,Variacion_vs_Libre!F44,Variacion_vs_Libre!F63,Variacion_vs_Libre!F82,Variacion_vs_Libre!F101,Variacion_vs_Libre!F120,Variacion_vs_Libre!F139,Variacion_vs_Libre!F158,Variacion_vs_Libre!F177,Variacion_vs_Libre!F196)</f>
        <v>8.4538010550433438E-8</v>
      </c>
      <c r="G5" s="11">
        <f>STDEV(Variacion_vs_Libre!F6,Variacion_vs_Libre!F25,Variacion_vs_Libre!F44,Variacion_vs_Libre!F63,Variacion_vs_Libre!F82,Variacion_vs_Libre!F101,Variacion_vs_Libre!F120,Variacion_vs_Libre!F139,Variacion_vs_Libre!F158,Variacion_vs_Libre!F177,Variacion_vs_Libre!F196)</f>
        <v>2.8038086151889384E-7</v>
      </c>
      <c r="H5" s="11">
        <f>MAX(Variacion_vs_Libre!F6,Variacion_vs_Libre!F25,Variacion_vs_Libre!F44,Variacion_vs_Libre!F63,Variacion_vs_Libre!F82,Variacion_vs_Libre!F101,Variacion_vs_Libre!F120,Variacion_vs_Libre!F139,Variacion_vs_Libre!F158,Variacion_vs_Libre!F177,Variacion_vs_Libre!F196)-MIN(Variacion_vs_Libre!F6,Variacion_vs_Libre!F25,Variacion_vs_Libre!F44,Variacion_vs_Libre!F63,Variacion_vs_Libre!F82,Variacion_vs_Libre!F101,Variacion_vs_Libre!F120,Variacion_vs_Libre!F139,Variacion_vs_Libre!F158,Variacion_vs_Libre!F177,Variacion_vs_Libre!F196)</f>
        <v>9.2991811605476783E-7</v>
      </c>
      <c r="I5" s="11">
        <f>MAX(MAX(Variacion_vs_Libre!F6,Variacion_vs_Libre!F25,Variacion_vs_Libre!F44,Variacion_vs_Libre!F63,Variacion_vs_Libre!F82,Variacion_vs_Libre!F101,Variacion_vs_Libre!F120,Variacion_vs_Libre!F139,Variacion_vs_Libre!F158,Variacion_vs_Libre!F177,Variacion_vs_Libre!F196),-MIN(Variacion_vs_Libre!F6,Variacion_vs_Libre!F25,Variacion_vs_Libre!F44,Variacion_vs_Libre!F63,Variacion_vs_Libre!F82,Variacion_vs_Libre!F101,Variacion_vs_Libre!F120,Variacion_vs_Libre!F139,Variacion_vs_Libre!F158,Variacion_vs_Libre!F177,Variacion_vs_Libre!F196))</f>
        <v>9.2991811605476783E-7</v>
      </c>
      <c r="J5" s="11">
        <f>AVERAGE(Variacion_vs_Libre!H6,Variacion_vs_Libre!H25,Variacion_vs_Libre!H44,Variacion_vs_Libre!H63,Variacion_vs_Libre!H82,Variacion_vs_Libre!H101,Variacion_vs_Libre!H120,Variacion_vs_Libre!H139,Variacion_vs_Libre!H158,Variacion_vs_Libre!H177,Variacion_vs_Libre!H196)</f>
        <v>-9.0154036604457699E-2</v>
      </c>
      <c r="K5" s="11">
        <f>STDEV(Variacion_vs_Libre!H6,Variacion_vs_Libre!H25,Variacion_vs_Libre!H44,Variacion_vs_Libre!H63,Variacion_vs_Libre!H82,Variacion_vs_Libre!H101,Variacion_vs_Libre!H120,Variacion_vs_Libre!H139,Variacion_vs_Libre!H158,Variacion_vs_Libre!H177,Variacion_vs_Libre!H196)</f>
        <v>2.0371681744901851E-2</v>
      </c>
      <c r="L5" s="11">
        <f>MAX(Variacion_vs_Libre!H6,Variacion_vs_Libre!H25,Variacion_vs_Libre!H44,Variacion_vs_Libre!H63,Variacion_vs_Libre!H82,Variacion_vs_Libre!H101,Variacion_vs_Libre!H120,Variacion_vs_Libre!H139,Variacion_vs_Libre!H158,Variacion_vs_Libre!H177,Variacion_vs_Libre!H196)-MIN(Variacion_vs_Libre!H6,Variacion_vs_Libre!H25,Variacion_vs_Libre!H44,Variacion_vs_Libre!H63,Variacion_vs_Libre!H82,Variacion_vs_Libre!H101,Variacion_vs_Libre!H120,Variacion_vs_Libre!H139,Variacion_vs_Libre!H158,Variacion_vs_Libre!H177,Variacion_vs_Libre!H196)</f>
        <v>6.3369244568654254E-2</v>
      </c>
      <c r="M5" s="11">
        <f>MAX(MAX(Variacion_vs_Libre!H6,Variacion_vs_Libre!H25,Variacion_vs_Libre!H44,Variacion_vs_Libre!H63,Variacion_vs_Libre!H82,Variacion_vs_Libre!H101,Variacion_vs_Libre!H120,Variacion_vs_Libre!H139,Variacion_vs_Libre!H158,Variacion_vs_Libre!H177,Variacion_vs_Libre!H196),-MIN(Variacion_vs_Libre!H6,Variacion_vs_Libre!H25,Variacion_vs_Libre!H44,Variacion_vs_Libre!H63,Variacion_vs_Libre!H82,Variacion_vs_Libre!H101,Variacion_vs_Libre!H120,Variacion_vs_Libre!H139,Variacion_vs_Libre!H158,Variacion_vs_Libre!H177,Variacion_vs_Libre!H196))</f>
        <v>0.11569056634463175</v>
      </c>
      <c r="N5" s="11">
        <f>AVERAGE(Variacion_vs_Libre!L6,Variacion_vs_Libre!L25,Variacion_vs_Libre!L44,Variacion_vs_Libre!L63,Variacion_vs_Libre!L82,Variacion_vs_Libre!L101,Variacion_vs_Libre!L120,Variacion_vs_Libre!L139,Variacion_vs_Libre!L158,Variacion_vs_Libre!L177,Variacion_vs_Libre!L196)</f>
        <v>-1.2056864713370934E-2</v>
      </c>
      <c r="O5" s="11">
        <f>STDEV(Variacion_vs_Libre!L6,Variacion_vs_Libre!L25,Variacion_vs_Libre!L44,Variacion_vs_Libre!L63,Variacion_vs_Libre!L82,Variacion_vs_Libre!L101,Variacion_vs_Libre!L120,Variacion_vs_Libre!L139,Variacion_vs_Libre!L158,Variacion_vs_Libre!L177,Variacion_vs_Libre!L196)</f>
        <v>0.20902334591091831</v>
      </c>
      <c r="P5" s="11">
        <f>MAX(Variacion_vs_Libre!L6,Variacion_vs_Libre!L25,Variacion_vs_Libre!L44,Variacion_vs_Libre!L63,Variacion_vs_Libre!L82,Variacion_vs_Libre!L101,Variacion_vs_Libre!L120,Variacion_vs_Libre!L139,Variacion_vs_Libre!L158,Variacion_vs_Libre!L177,Variacion_vs_Libre!L196)-MIN(Variacion_vs_Libre!L6,Variacion_vs_Libre!L25,Variacion_vs_Libre!L44,Variacion_vs_Libre!L63,Variacion_vs_Libre!L82,Variacion_vs_Libre!L101,Variacion_vs_Libre!L120,Variacion_vs_Libre!L139,Variacion_vs_Libre!L158,Variacion_vs_Libre!L177,Variacion_vs_Libre!L196)</f>
        <v>0.61115392997623796</v>
      </c>
      <c r="Q5" s="11">
        <f>MAX(MAX(Variacion_vs_Libre!L6,Variacion_vs_Libre!L25,Variacion_vs_Libre!L44,Variacion_vs_Libre!L63,Variacion_vs_Libre!L82,Variacion_vs_Libre!L101,Variacion_vs_Libre!L120,Variacion_vs_Libre!L139,Variacion_vs_Libre!L158,Variacion_vs_Libre!L177,Variacion_vs_Libre!L196),-MIN(Variacion_vs_Libre!L6,Variacion_vs_Libre!L25,Variacion_vs_Libre!L44,Variacion_vs_Libre!L63,Variacion_vs_Libre!L82,Variacion_vs_Libre!L101,Variacion_vs_Libre!L120,Variacion_vs_Libre!L139,Variacion_vs_Libre!L158,Variacion_vs_Libre!L177,Variacion_vs_Libre!L196))</f>
        <v>0.31292835944949399</v>
      </c>
    </row>
    <row r="6" spans="1:17" x14ac:dyDescent="0.3">
      <c r="A6" s="4" t="s">
        <v>23</v>
      </c>
      <c r="B6" s="11">
        <f>AVERAGE(Variacion_vs_Libre!D7,Variacion_vs_Libre!D26,Variacion_vs_Libre!D45,Variacion_vs_Libre!D64,Variacion_vs_Libre!D83,Variacion_vs_Libre!D102,Variacion_vs_Libre!D121,Variacion_vs_Libre!D140,Variacion_vs_Libre!D159,Variacion_vs_Libre!D178,Variacion_vs_Libre!D197)</f>
        <v>0</v>
      </c>
      <c r="C6" s="11">
        <f>STDEV(Variacion_vs_Libre!D7,Variacion_vs_Libre!D26,Variacion_vs_Libre!D45,Variacion_vs_Libre!D64,Variacion_vs_Libre!D83,Variacion_vs_Libre!D102,Variacion_vs_Libre!D121,Variacion_vs_Libre!D140,Variacion_vs_Libre!D159,Variacion_vs_Libre!D178,Variacion_vs_Libre!D197)</f>
        <v>0</v>
      </c>
      <c r="D6" s="11">
        <f>MAX(Variacion_vs_Libre!D7,Variacion_vs_Libre!D26,Variacion_vs_Libre!D45,Variacion_vs_Libre!D64,Variacion_vs_Libre!D83,Variacion_vs_Libre!D102,Variacion_vs_Libre!D121,Variacion_vs_Libre!D140,Variacion_vs_Libre!D159,Variacion_vs_Libre!D178,Variacion_vs_Libre!D197)-MIN(Variacion_vs_Libre!D7,Variacion_vs_Libre!D26,Variacion_vs_Libre!D45,Variacion_vs_Libre!D64,Variacion_vs_Libre!D83,Variacion_vs_Libre!D102,Variacion_vs_Libre!D121,Variacion_vs_Libre!D140,Variacion_vs_Libre!D159,Variacion_vs_Libre!D178,Variacion_vs_Libre!D197)</f>
        <v>0</v>
      </c>
      <c r="E6" s="11">
        <f>MAX(MAX(Variacion_vs_Libre!D7,Variacion_vs_Libre!D26,Variacion_vs_Libre!D45,Variacion_vs_Libre!D64,Variacion_vs_Libre!D83,Variacion_vs_Libre!D102,Variacion_vs_Libre!D121,Variacion_vs_Libre!D140,Variacion_vs_Libre!D159,Variacion_vs_Libre!D178,Variacion_vs_Libre!D197),-MIN(Variacion_vs_Libre!D7,Variacion_vs_Libre!D26,Variacion_vs_Libre!D45,Variacion_vs_Libre!D64,Variacion_vs_Libre!D83,Variacion_vs_Libre!D102,Variacion_vs_Libre!D121,Variacion_vs_Libre!D140,Variacion_vs_Libre!D159,Variacion_vs_Libre!D178,Variacion_vs_Libre!D197))</f>
        <v>0</v>
      </c>
      <c r="F6" s="11">
        <f>AVERAGE(Variacion_vs_Libre!F7,Variacion_vs_Libre!F26,Variacion_vs_Libre!F45,Variacion_vs_Libre!F64,Variacion_vs_Libre!F83,Variacion_vs_Libre!F102,Variacion_vs_Libre!F121,Variacion_vs_Libre!F140,Variacion_vs_Libre!F159,Variacion_vs_Libre!F178,Variacion_vs_Libre!F197)</f>
        <v>0</v>
      </c>
      <c r="G6" s="11">
        <f>STDEV(Variacion_vs_Libre!F7,Variacion_vs_Libre!F26,Variacion_vs_Libre!F45,Variacion_vs_Libre!F64,Variacion_vs_Libre!F83,Variacion_vs_Libre!F102,Variacion_vs_Libre!F121,Variacion_vs_Libre!F140,Variacion_vs_Libre!F159,Variacion_vs_Libre!F178,Variacion_vs_Libre!F197)</f>
        <v>0</v>
      </c>
      <c r="H6" s="11">
        <f>MAX(Variacion_vs_Libre!F7,Variacion_vs_Libre!F26,Variacion_vs_Libre!F45,Variacion_vs_Libre!F64,Variacion_vs_Libre!F83,Variacion_vs_Libre!F102,Variacion_vs_Libre!F121,Variacion_vs_Libre!F140,Variacion_vs_Libre!F159,Variacion_vs_Libre!F178,Variacion_vs_Libre!F197)-MIN(Variacion_vs_Libre!F7,Variacion_vs_Libre!F26,Variacion_vs_Libre!F45,Variacion_vs_Libre!F64,Variacion_vs_Libre!F83,Variacion_vs_Libre!F102,Variacion_vs_Libre!F121,Variacion_vs_Libre!F140,Variacion_vs_Libre!F159,Variacion_vs_Libre!F178,Variacion_vs_Libre!F197)</f>
        <v>0</v>
      </c>
      <c r="I6" s="11">
        <f>MAX(MAX(Variacion_vs_Libre!F7,Variacion_vs_Libre!F26,Variacion_vs_Libre!F45,Variacion_vs_Libre!F64,Variacion_vs_Libre!F83,Variacion_vs_Libre!F102,Variacion_vs_Libre!F121,Variacion_vs_Libre!F140,Variacion_vs_Libre!F159,Variacion_vs_Libre!F178,Variacion_vs_Libre!F197),-MIN(Variacion_vs_Libre!F7,Variacion_vs_Libre!F26,Variacion_vs_Libre!F45,Variacion_vs_Libre!F64,Variacion_vs_Libre!F83,Variacion_vs_Libre!F102,Variacion_vs_Libre!F121,Variacion_vs_Libre!F140,Variacion_vs_Libre!F159,Variacion_vs_Libre!F178,Variacion_vs_Libre!F197))</f>
        <v>0</v>
      </c>
      <c r="J6" s="11">
        <f>AVERAGE(Variacion_vs_Libre!H7,Variacion_vs_Libre!H26,Variacion_vs_Libre!H45,Variacion_vs_Libre!H64,Variacion_vs_Libre!H83,Variacion_vs_Libre!H102,Variacion_vs_Libre!H121,Variacion_vs_Libre!H140,Variacion_vs_Libre!H159,Variacion_vs_Libre!H178,Variacion_vs_Libre!H197)</f>
        <v>-6.0475885045586091E-2</v>
      </c>
      <c r="K6" s="11">
        <f>STDEV(Variacion_vs_Libre!H7,Variacion_vs_Libre!H26,Variacion_vs_Libre!H45,Variacion_vs_Libre!H64,Variacion_vs_Libre!H83,Variacion_vs_Libre!H102,Variacion_vs_Libre!H121,Variacion_vs_Libre!H140,Variacion_vs_Libre!H159,Variacion_vs_Libre!H178,Variacion_vs_Libre!H197)</f>
        <v>2.1303774295971419E-2</v>
      </c>
      <c r="L6" s="11">
        <f>MAX(Variacion_vs_Libre!H7,Variacion_vs_Libre!H26,Variacion_vs_Libre!H45,Variacion_vs_Libre!H64,Variacion_vs_Libre!H83,Variacion_vs_Libre!H102,Variacion_vs_Libre!H121,Variacion_vs_Libre!H140,Variacion_vs_Libre!H159,Variacion_vs_Libre!H178,Variacion_vs_Libre!H197)-MIN(Variacion_vs_Libre!H7,Variacion_vs_Libre!H26,Variacion_vs_Libre!H45,Variacion_vs_Libre!H64,Variacion_vs_Libre!H83,Variacion_vs_Libre!H102,Variacion_vs_Libre!H121,Variacion_vs_Libre!H140,Variacion_vs_Libre!H159,Variacion_vs_Libre!H178,Variacion_vs_Libre!H197)</f>
        <v>6.5986893478209255E-2</v>
      </c>
      <c r="M6" s="11">
        <f>MAX(MAX(Variacion_vs_Libre!H7,Variacion_vs_Libre!H26,Variacion_vs_Libre!H45,Variacion_vs_Libre!H64,Variacion_vs_Libre!H83,Variacion_vs_Libre!H102,Variacion_vs_Libre!H121,Variacion_vs_Libre!H140,Variacion_vs_Libre!H159,Variacion_vs_Libre!H178,Variacion_vs_Libre!H197),-MIN(Variacion_vs_Libre!H7,Variacion_vs_Libre!H26,Variacion_vs_Libre!H45,Variacion_vs_Libre!H64,Variacion_vs_Libre!H83,Variacion_vs_Libre!H102,Variacion_vs_Libre!H121,Variacion_vs_Libre!H140,Variacion_vs_Libre!H159,Variacion_vs_Libre!H178,Variacion_vs_Libre!H197))</f>
        <v>8.6410047764000825E-2</v>
      </c>
      <c r="N6" s="11">
        <f>AVERAGE(Variacion_vs_Libre!L7,Variacion_vs_Libre!L26,Variacion_vs_Libre!L45,Variacion_vs_Libre!L64,Variacion_vs_Libre!L83,Variacion_vs_Libre!L102,Variacion_vs_Libre!L121,Variacion_vs_Libre!L140,Variacion_vs_Libre!L159,Variacion_vs_Libre!L178,Variacion_vs_Libre!L197)</f>
        <v>-3.6824657795423828E-2</v>
      </c>
      <c r="O6" s="11">
        <f>STDEV(Variacion_vs_Libre!L7,Variacion_vs_Libre!L26,Variacion_vs_Libre!L45,Variacion_vs_Libre!L64,Variacion_vs_Libre!L83,Variacion_vs_Libre!L102,Variacion_vs_Libre!L121,Variacion_vs_Libre!L140,Variacion_vs_Libre!L159,Variacion_vs_Libre!L178,Variacion_vs_Libre!L197)</f>
        <v>0.20027100227984565</v>
      </c>
      <c r="P6" s="11">
        <f>MAX(Variacion_vs_Libre!L7,Variacion_vs_Libre!L26,Variacion_vs_Libre!L45,Variacion_vs_Libre!L64,Variacion_vs_Libre!L83,Variacion_vs_Libre!L102,Variacion_vs_Libre!L121,Variacion_vs_Libre!L140,Variacion_vs_Libre!L159,Variacion_vs_Libre!L178,Variacion_vs_Libre!L197)-MIN(Variacion_vs_Libre!L7,Variacion_vs_Libre!L26,Variacion_vs_Libre!L45,Variacion_vs_Libre!L64,Variacion_vs_Libre!L83,Variacion_vs_Libre!L102,Variacion_vs_Libre!L121,Variacion_vs_Libre!L140,Variacion_vs_Libre!L159,Variacion_vs_Libre!L178,Variacion_vs_Libre!L197)</f>
        <v>0.58517943279773565</v>
      </c>
      <c r="Q6" s="11">
        <f>MAX(MAX(Variacion_vs_Libre!L7,Variacion_vs_Libre!L26,Variacion_vs_Libre!L45,Variacion_vs_Libre!L64,Variacion_vs_Libre!L83,Variacion_vs_Libre!L102,Variacion_vs_Libre!L121,Variacion_vs_Libre!L140,Variacion_vs_Libre!L159,Variacion_vs_Libre!L178,Variacion_vs_Libre!L197),-MIN(Variacion_vs_Libre!L7,Variacion_vs_Libre!L26,Variacion_vs_Libre!L45,Variacion_vs_Libre!L64,Variacion_vs_Libre!L83,Variacion_vs_Libre!L102,Variacion_vs_Libre!L121,Variacion_vs_Libre!L140,Variacion_vs_Libre!L159,Variacion_vs_Libre!L178,Variacion_vs_Libre!L197))</f>
        <v>0.31225449914089271</v>
      </c>
    </row>
    <row r="7" spans="1:17" x14ac:dyDescent="0.3">
      <c r="A7" s="4" t="s">
        <v>25</v>
      </c>
      <c r="B7" s="11">
        <f>AVERAGE(Variacion_vs_Libre!D8,Variacion_vs_Libre!D27,Variacion_vs_Libre!D46,Variacion_vs_Libre!D65,Variacion_vs_Libre!D84,Variacion_vs_Libre!D103,Variacion_vs_Libre!D122,Variacion_vs_Libre!D141,Variacion_vs_Libre!D160,Variacion_vs_Libre!D179,Variacion_vs_Libre!D198)</f>
        <v>0</v>
      </c>
      <c r="C7" s="11">
        <f>STDEV(Variacion_vs_Libre!D8,Variacion_vs_Libre!D27,Variacion_vs_Libre!D46,Variacion_vs_Libre!D65,Variacion_vs_Libre!D84,Variacion_vs_Libre!D103,Variacion_vs_Libre!D122,Variacion_vs_Libre!D141,Variacion_vs_Libre!D160,Variacion_vs_Libre!D179,Variacion_vs_Libre!D198)</f>
        <v>0</v>
      </c>
      <c r="D7" s="11">
        <f>MAX(Variacion_vs_Libre!D8,Variacion_vs_Libre!D27,Variacion_vs_Libre!D46,Variacion_vs_Libre!D65,Variacion_vs_Libre!D84,Variacion_vs_Libre!D103,Variacion_vs_Libre!D122,Variacion_vs_Libre!D141,Variacion_vs_Libre!D160,Variacion_vs_Libre!D179,Variacion_vs_Libre!D198)-MIN(Variacion_vs_Libre!D8,Variacion_vs_Libre!D27,Variacion_vs_Libre!D46,Variacion_vs_Libre!D65,Variacion_vs_Libre!D84,Variacion_vs_Libre!D103,Variacion_vs_Libre!D122,Variacion_vs_Libre!D141,Variacion_vs_Libre!D160,Variacion_vs_Libre!D179,Variacion_vs_Libre!D198)</f>
        <v>0</v>
      </c>
      <c r="E7" s="11">
        <f>MAX(MAX(Variacion_vs_Libre!D8,Variacion_vs_Libre!D27,Variacion_vs_Libre!D46,Variacion_vs_Libre!D65,Variacion_vs_Libre!D84,Variacion_vs_Libre!D103,Variacion_vs_Libre!D122,Variacion_vs_Libre!D141,Variacion_vs_Libre!D160,Variacion_vs_Libre!D179,Variacion_vs_Libre!D198),-MIN(Variacion_vs_Libre!D8,Variacion_vs_Libre!D27,Variacion_vs_Libre!D46,Variacion_vs_Libre!D65,Variacion_vs_Libre!D84,Variacion_vs_Libre!D103,Variacion_vs_Libre!D122,Variacion_vs_Libre!D141,Variacion_vs_Libre!D160,Variacion_vs_Libre!D179,Variacion_vs_Libre!D198))</f>
        <v>0</v>
      </c>
      <c r="F7" s="11">
        <f>AVERAGE(Variacion_vs_Libre!F8,Variacion_vs_Libre!F27,Variacion_vs_Libre!F46,Variacion_vs_Libre!F65,Variacion_vs_Libre!F84,Variacion_vs_Libre!F103,Variacion_vs_Libre!F122,Variacion_vs_Libre!F141,Variacion_vs_Libre!F160,Variacion_vs_Libre!F179,Variacion_vs_Libre!F198)</f>
        <v>0</v>
      </c>
      <c r="G7" s="11">
        <f>STDEV(Variacion_vs_Libre!F8,Variacion_vs_Libre!F27,Variacion_vs_Libre!F46,Variacion_vs_Libre!F65,Variacion_vs_Libre!F84,Variacion_vs_Libre!F103,Variacion_vs_Libre!F122,Variacion_vs_Libre!F141,Variacion_vs_Libre!F160,Variacion_vs_Libre!F179,Variacion_vs_Libre!F198)</f>
        <v>0</v>
      </c>
      <c r="H7" s="11">
        <f>MAX(Variacion_vs_Libre!F8,Variacion_vs_Libre!F27,Variacion_vs_Libre!F46,Variacion_vs_Libre!F65,Variacion_vs_Libre!F84,Variacion_vs_Libre!F103,Variacion_vs_Libre!F122,Variacion_vs_Libre!F141,Variacion_vs_Libre!F160,Variacion_vs_Libre!F179,Variacion_vs_Libre!F198)-MIN(Variacion_vs_Libre!F8,Variacion_vs_Libre!F27,Variacion_vs_Libre!F46,Variacion_vs_Libre!F65,Variacion_vs_Libre!F84,Variacion_vs_Libre!F103,Variacion_vs_Libre!F122,Variacion_vs_Libre!F141,Variacion_vs_Libre!F160,Variacion_vs_Libre!F179,Variacion_vs_Libre!F198)</f>
        <v>0</v>
      </c>
      <c r="I7" s="11">
        <f>MAX(MAX(Variacion_vs_Libre!F8,Variacion_vs_Libre!F27,Variacion_vs_Libre!F46,Variacion_vs_Libre!F65,Variacion_vs_Libre!F84,Variacion_vs_Libre!F103,Variacion_vs_Libre!F122,Variacion_vs_Libre!F141,Variacion_vs_Libre!F160,Variacion_vs_Libre!F179,Variacion_vs_Libre!F198),-MIN(Variacion_vs_Libre!F8,Variacion_vs_Libre!F27,Variacion_vs_Libre!F46,Variacion_vs_Libre!F65,Variacion_vs_Libre!F84,Variacion_vs_Libre!F103,Variacion_vs_Libre!F122,Variacion_vs_Libre!F141,Variacion_vs_Libre!F160,Variacion_vs_Libre!F179,Variacion_vs_Libre!F198))</f>
        <v>0</v>
      </c>
      <c r="J7" s="11">
        <f>AVERAGE(Variacion_vs_Libre!H8,Variacion_vs_Libre!H27,Variacion_vs_Libre!H46,Variacion_vs_Libre!H65,Variacion_vs_Libre!H84,Variacion_vs_Libre!H103,Variacion_vs_Libre!H122,Variacion_vs_Libre!H141,Variacion_vs_Libre!H160,Variacion_vs_Libre!H179,Variacion_vs_Libre!H198)</f>
        <v>-3.1871460013821379E-2</v>
      </c>
      <c r="K7" s="11">
        <f>STDEV(Variacion_vs_Libre!H8,Variacion_vs_Libre!H27,Variacion_vs_Libre!H46,Variacion_vs_Libre!H65,Variacion_vs_Libre!H84,Variacion_vs_Libre!H103,Variacion_vs_Libre!H122,Variacion_vs_Libre!H141,Variacion_vs_Libre!H160,Variacion_vs_Libre!H179,Variacion_vs_Libre!H198)</f>
        <v>2.9646272069194585E-2</v>
      </c>
      <c r="L7" s="11">
        <f>MAX(Variacion_vs_Libre!H8,Variacion_vs_Libre!H27,Variacion_vs_Libre!H46,Variacion_vs_Libre!H65,Variacion_vs_Libre!H84,Variacion_vs_Libre!H103,Variacion_vs_Libre!H122,Variacion_vs_Libre!H141,Variacion_vs_Libre!H160,Variacion_vs_Libre!H179,Variacion_vs_Libre!H198)-MIN(Variacion_vs_Libre!H8,Variacion_vs_Libre!H27,Variacion_vs_Libre!H46,Variacion_vs_Libre!H65,Variacion_vs_Libre!H84,Variacion_vs_Libre!H103,Variacion_vs_Libre!H122,Variacion_vs_Libre!H141,Variacion_vs_Libre!H160,Variacion_vs_Libre!H179,Variacion_vs_Libre!H198)</f>
        <v>9.214941587426427E-2</v>
      </c>
      <c r="M7" s="11">
        <f>MAX(MAX(Variacion_vs_Libre!H8,Variacion_vs_Libre!H27,Variacion_vs_Libre!H46,Variacion_vs_Libre!H65,Variacion_vs_Libre!H84,Variacion_vs_Libre!H103,Variacion_vs_Libre!H122,Variacion_vs_Libre!H141,Variacion_vs_Libre!H160,Variacion_vs_Libre!H179,Variacion_vs_Libre!H198),-MIN(Variacion_vs_Libre!H8,Variacion_vs_Libre!H27,Variacion_vs_Libre!H46,Variacion_vs_Libre!H65,Variacion_vs_Libre!H84,Variacion_vs_Libre!H103,Variacion_vs_Libre!H122,Variacion_vs_Libre!H141,Variacion_vs_Libre!H160,Variacion_vs_Libre!H179,Variacion_vs_Libre!H198))</f>
        <v>6.8625564884747206E-2</v>
      </c>
      <c r="N7" s="11">
        <f>AVERAGE(Variacion_vs_Libre!L8,Variacion_vs_Libre!L27,Variacion_vs_Libre!L46,Variacion_vs_Libre!L65,Variacion_vs_Libre!L84,Variacion_vs_Libre!L103,Variacion_vs_Libre!L122,Variacion_vs_Libre!L141,Variacion_vs_Libre!L160,Variacion_vs_Libre!L179,Variacion_vs_Libre!L198)</f>
        <v>-6.5048804040750682E-2</v>
      </c>
      <c r="O7" s="11">
        <f>STDEV(Variacion_vs_Libre!L8,Variacion_vs_Libre!L27,Variacion_vs_Libre!L46,Variacion_vs_Libre!L65,Variacion_vs_Libre!L84,Variacion_vs_Libre!L103,Variacion_vs_Libre!L122,Variacion_vs_Libre!L141,Variacion_vs_Libre!L160,Variacion_vs_Libre!L179,Variacion_vs_Libre!L198)</f>
        <v>0.19086456097952109</v>
      </c>
      <c r="P7" s="11">
        <f>MAX(Variacion_vs_Libre!L8,Variacion_vs_Libre!L27,Variacion_vs_Libre!L46,Variacion_vs_Libre!L65,Variacion_vs_Libre!L84,Variacion_vs_Libre!L103,Variacion_vs_Libre!L122,Variacion_vs_Libre!L141,Variacion_vs_Libre!L160,Variacion_vs_Libre!L179,Variacion_vs_Libre!L198)-MIN(Variacion_vs_Libre!L8,Variacion_vs_Libre!L27,Variacion_vs_Libre!L46,Variacion_vs_Libre!L65,Variacion_vs_Libre!L84,Variacion_vs_Libre!L103,Variacion_vs_Libre!L122,Variacion_vs_Libre!L141,Variacion_vs_Libre!L160,Variacion_vs_Libre!L179,Variacion_vs_Libre!L198)</f>
        <v>0.55733451558469627</v>
      </c>
      <c r="Q7" s="11">
        <f>MAX(MAX(Variacion_vs_Libre!L8,Variacion_vs_Libre!L27,Variacion_vs_Libre!L46,Variacion_vs_Libre!L65,Variacion_vs_Libre!L84,Variacion_vs_Libre!L103,Variacion_vs_Libre!L122,Variacion_vs_Libre!L141,Variacion_vs_Libre!L160,Variacion_vs_Libre!L179,Variacion_vs_Libre!L198),-MIN(Variacion_vs_Libre!L8,Variacion_vs_Libre!L27,Variacion_vs_Libre!L46,Variacion_vs_Libre!L65,Variacion_vs_Libre!L84,Variacion_vs_Libre!L103,Variacion_vs_Libre!L122,Variacion_vs_Libre!L141,Variacion_vs_Libre!L160,Variacion_vs_Libre!L179,Variacion_vs_Libre!L198))</f>
        <v>0.32878815750420931</v>
      </c>
    </row>
    <row r="8" spans="1:17" x14ac:dyDescent="0.3">
      <c r="A8" s="4" t="s">
        <v>27</v>
      </c>
      <c r="B8" s="11">
        <f>AVERAGE(Variacion_vs_Libre!D9,Variacion_vs_Libre!D28,Variacion_vs_Libre!D47,Variacion_vs_Libre!D66,Variacion_vs_Libre!D85,Variacion_vs_Libre!D104,Variacion_vs_Libre!D123,Variacion_vs_Libre!D142,Variacion_vs_Libre!D161,Variacion_vs_Libre!D180,Variacion_vs_Libre!D199)</f>
        <v>0</v>
      </c>
      <c r="C8" s="11">
        <f>STDEV(Variacion_vs_Libre!D9,Variacion_vs_Libre!D28,Variacion_vs_Libre!D47,Variacion_vs_Libre!D66,Variacion_vs_Libre!D85,Variacion_vs_Libre!D104,Variacion_vs_Libre!D123,Variacion_vs_Libre!D142,Variacion_vs_Libre!D161,Variacion_vs_Libre!D180,Variacion_vs_Libre!D199)</f>
        <v>0</v>
      </c>
      <c r="D8" s="11">
        <f>MAX(Variacion_vs_Libre!D9,Variacion_vs_Libre!D28,Variacion_vs_Libre!D47,Variacion_vs_Libre!D66,Variacion_vs_Libre!D85,Variacion_vs_Libre!D104,Variacion_vs_Libre!D123,Variacion_vs_Libre!D142,Variacion_vs_Libre!D161,Variacion_vs_Libre!D180,Variacion_vs_Libre!D199)-MIN(Variacion_vs_Libre!D9,Variacion_vs_Libre!D28,Variacion_vs_Libre!D47,Variacion_vs_Libre!D66,Variacion_vs_Libre!D85,Variacion_vs_Libre!D104,Variacion_vs_Libre!D123,Variacion_vs_Libre!D142,Variacion_vs_Libre!D161,Variacion_vs_Libre!D180,Variacion_vs_Libre!D199)</f>
        <v>0</v>
      </c>
      <c r="E8" s="11">
        <f>MAX(MAX(Variacion_vs_Libre!D9,Variacion_vs_Libre!D28,Variacion_vs_Libre!D47,Variacion_vs_Libre!D66,Variacion_vs_Libre!D85,Variacion_vs_Libre!D104,Variacion_vs_Libre!D123,Variacion_vs_Libre!D142,Variacion_vs_Libre!D161,Variacion_vs_Libre!D180,Variacion_vs_Libre!D199),-MIN(Variacion_vs_Libre!D9,Variacion_vs_Libre!D28,Variacion_vs_Libre!D47,Variacion_vs_Libre!D66,Variacion_vs_Libre!D85,Variacion_vs_Libre!D104,Variacion_vs_Libre!D123,Variacion_vs_Libre!D142,Variacion_vs_Libre!D161,Variacion_vs_Libre!D180,Variacion_vs_Libre!D199))</f>
        <v>0</v>
      </c>
      <c r="F8" s="11">
        <f>AVERAGE(Variacion_vs_Libre!F9,Variacion_vs_Libre!F28,Variacion_vs_Libre!F47,Variacion_vs_Libre!F66,Variacion_vs_Libre!F85,Variacion_vs_Libre!F104,Variacion_vs_Libre!F123,Variacion_vs_Libre!F142,Variacion_vs_Libre!F161,Variacion_vs_Libre!F180,Variacion_vs_Libre!F199)</f>
        <v>0</v>
      </c>
      <c r="G8" s="11">
        <f>STDEV(Variacion_vs_Libre!F9,Variacion_vs_Libre!F28,Variacion_vs_Libre!F47,Variacion_vs_Libre!F66,Variacion_vs_Libre!F85,Variacion_vs_Libre!F104,Variacion_vs_Libre!F123,Variacion_vs_Libre!F142,Variacion_vs_Libre!F161,Variacion_vs_Libre!F180,Variacion_vs_Libre!F199)</f>
        <v>0</v>
      </c>
      <c r="H8" s="11">
        <f>MAX(Variacion_vs_Libre!F9,Variacion_vs_Libre!F28,Variacion_vs_Libre!F47,Variacion_vs_Libre!F66,Variacion_vs_Libre!F85,Variacion_vs_Libre!F104,Variacion_vs_Libre!F123,Variacion_vs_Libre!F142,Variacion_vs_Libre!F161,Variacion_vs_Libre!F180,Variacion_vs_Libre!F199)-MIN(Variacion_vs_Libre!F9,Variacion_vs_Libre!F28,Variacion_vs_Libre!F47,Variacion_vs_Libre!F66,Variacion_vs_Libre!F85,Variacion_vs_Libre!F104,Variacion_vs_Libre!F123,Variacion_vs_Libre!F142,Variacion_vs_Libre!F161,Variacion_vs_Libre!F180,Variacion_vs_Libre!F199)</f>
        <v>0</v>
      </c>
      <c r="I8" s="11">
        <f>MAX(MAX(Variacion_vs_Libre!F9,Variacion_vs_Libre!F28,Variacion_vs_Libre!F47,Variacion_vs_Libre!F66,Variacion_vs_Libre!F85,Variacion_vs_Libre!F104,Variacion_vs_Libre!F123,Variacion_vs_Libre!F142,Variacion_vs_Libre!F161,Variacion_vs_Libre!F180,Variacion_vs_Libre!F199),-MIN(Variacion_vs_Libre!F9,Variacion_vs_Libre!F28,Variacion_vs_Libre!F47,Variacion_vs_Libre!F66,Variacion_vs_Libre!F85,Variacion_vs_Libre!F104,Variacion_vs_Libre!F123,Variacion_vs_Libre!F142,Variacion_vs_Libre!F161,Variacion_vs_Libre!F180,Variacion_vs_Libre!F199))</f>
        <v>0</v>
      </c>
      <c r="J8" s="11">
        <f>AVERAGE(Variacion_vs_Libre!H9,Variacion_vs_Libre!H28,Variacion_vs_Libre!H47,Variacion_vs_Libre!H66,Variacion_vs_Libre!H85,Variacion_vs_Libre!H104,Variacion_vs_Libre!H123,Variacion_vs_Libre!H142,Variacion_vs_Libre!H161,Variacion_vs_Libre!H180,Variacion_vs_Libre!H199)</f>
        <v>-1.914547310064396E-3</v>
      </c>
      <c r="K8" s="11">
        <f>STDEV(Variacion_vs_Libre!H9,Variacion_vs_Libre!H28,Variacion_vs_Libre!H47,Variacion_vs_Libre!H66,Variacion_vs_Libre!H85,Variacion_vs_Libre!H104,Variacion_vs_Libre!H123,Variacion_vs_Libre!H142,Variacion_vs_Libre!H161,Variacion_vs_Libre!H180,Variacion_vs_Libre!H199)</f>
        <v>3.5966166779549308E-2</v>
      </c>
      <c r="L8" s="11">
        <f>MAX(Variacion_vs_Libre!H9,Variacion_vs_Libre!H28,Variacion_vs_Libre!H47,Variacion_vs_Libre!H66,Variacion_vs_Libre!H85,Variacion_vs_Libre!H104,Variacion_vs_Libre!H123,Variacion_vs_Libre!H142,Variacion_vs_Libre!H161,Variacion_vs_Libre!H180,Variacion_vs_Libre!H199)-MIN(Variacion_vs_Libre!H9,Variacion_vs_Libre!H28,Variacion_vs_Libre!H47,Variacion_vs_Libre!H66,Variacion_vs_Libre!H85,Variacion_vs_Libre!H104,Variacion_vs_Libre!H123,Variacion_vs_Libre!H142,Variacion_vs_Libre!H161,Variacion_vs_Libre!H180,Variacion_vs_Libre!H199)</f>
        <v>0.11255065674231984</v>
      </c>
      <c r="M8" s="11">
        <f>MAX(MAX(Variacion_vs_Libre!H9,Variacion_vs_Libre!H28,Variacion_vs_Libre!H47,Variacion_vs_Libre!H66,Variacion_vs_Libre!H85,Variacion_vs_Libre!H104,Variacion_vs_Libre!H123,Variacion_vs_Libre!H142,Variacion_vs_Libre!H161,Variacion_vs_Libre!H180,Variacion_vs_Libre!H199),-MIN(Variacion_vs_Libre!H9,Variacion_vs_Libre!H28,Variacion_vs_Libre!H47,Variacion_vs_Libre!H66,Variacion_vs_Libre!H85,Variacion_vs_Libre!H104,Variacion_vs_Libre!H123,Variacion_vs_Libre!H142,Variacion_vs_Libre!H161,Variacion_vs_Libre!H180,Variacion_vs_Libre!H199))</f>
        <v>6.5750925711578062E-2</v>
      </c>
      <c r="N8" s="11">
        <f>AVERAGE(Variacion_vs_Libre!L9,Variacion_vs_Libre!L28,Variacion_vs_Libre!L47,Variacion_vs_Libre!L66,Variacion_vs_Libre!L85,Variacion_vs_Libre!L104,Variacion_vs_Libre!L123,Variacion_vs_Libre!L142,Variacion_vs_Libre!L161,Variacion_vs_Libre!L180,Variacion_vs_Libre!L199)</f>
        <v>-9.7907279501659644E-2</v>
      </c>
      <c r="O8" s="11">
        <f>STDEV(Variacion_vs_Libre!L9,Variacion_vs_Libre!L28,Variacion_vs_Libre!L47,Variacion_vs_Libre!L66,Variacion_vs_Libre!L85,Variacion_vs_Libre!L104,Variacion_vs_Libre!L123,Variacion_vs_Libre!L142,Variacion_vs_Libre!L161,Variacion_vs_Libre!L180,Variacion_vs_Libre!L199)</f>
        <v>0.18064148897375465</v>
      </c>
      <c r="P8" s="11">
        <f>MAX(Variacion_vs_Libre!L9,Variacion_vs_Libre!L28,Variacion_vs_Libre!L47,Variacion_vs_Libre!L66,Variacion_vs_Libre!L85,Variacion_vs_Libre!L104,Variacion_vs_Libre!L123,Variacion_vs_Libre!L142,Variacion_vs_Libre!L161,Variacion_vs_Libre!L180,Variacion_vs_Libre!L199)-MIN(Variacion_vs_Libre!L9,Variacion_vs_Libre!L28,Variacion_vs_Libre!L47,Variacion_vs_Libre!L66,Variacion_vs_Libre!L85,Variacion_vs_Libre!L104,Variacion_vs_Libre!L123,Variacion_vs_Libre!L142,Variacion_vs_Libre!L161,Variacion_vs_Libre!L180,Variacion_vs_Libre!L199)</f>
        <v>0.52714269039234707</v>
      </c>
      <c r="Q8" s="11">
        <f>MAX(MAX(Variacion_vs_Libre!L9,Variacion_vs_Libre!L28,Variacion_vs_Libre!L47,Variacion_vs_Libre!L66,Variacion_vs_Libre!L85,Variacion_vs_Libre!L104,Variacion_vs_Libre!L123,Variacion_vs_Libre!L142,Variacion_vs_Libre!L161,Variacion_vs_Libre!L180,Variacion_vs_Libre!L199),-MIN(Variacion_vs_Libre!L9,Variacion_vs_Libre!L28,Variacion_vs_Libre!L47,Variacion_vs_Libre!L66,Variacion_vs_Libre!L85,Variacion_vs_Libre!L104,Variacion_vs_Libre!L123,Variacion_vs_Libre!L142,Variacion_vs_Libre!L161,Variacion_vs_Libre!L180,Variacion_vs_Libre!L199))</f>
        <v>0.3488753890064698</v>
      </c>
    </row>
    <row r="9" spans="1:17" x14ac:dyDescent="0.3">
      <c r="A9" s="4" t="s">
        <v>29</v>
      </c>
      <c r="B9" s="11">
        <f>AVERAGE(Variacion_vs_Libre!D10,Variacion_vs_Libre!D29,Variacion_vs_Libre!D48,Variacion_vs_Libre!D67,Variacion_vs_Libre!D86,Variacion_vs_Libre!D105,Variacion_vs_Libre!D124,Variacion_vs_Libre!D143,Variacion_vs_Libre!D162,Variacion_vs_Libre!D181,Variacion_vs_Libre!D200)</f>
        <v>0</v>
      </c>
      <c r="C9" s="11">
        <f>STDEV(Variacion_vs_Libre!D10,Variacion_vs_Libre!D29,Variacion_vs_Libre!D48,Variacion_vs_Libre!D67,Variacion_vs_Libre!D86,Variacion_vs_Libre!D105,Variacion_vs_Libre!D124,Variacion_vs_Libre!D143,Variacion_vs_Libre!D162,Variacion_vs_Libre!D181,Variacion_vs_Libre!D200)</f>
        <v>0</v>
      </c>
      <c r="D9" s="11">
        <f>MAX(Variacion_vs_Libre!D10,Variacion_vs_Libre!D29,Variacion_vs_Libre!D48,Variacion_vs_Libre!D67,Variacion_vs_Libre!D86,Variacion_vs_Libre!D105,Variacion_vs_Libre!D124,Variacion_vs_Libre!D143,Variacion_vs_Libre!D162,Variacion_vs_Libre!D181,Variacion_vs_Libre!D200)-MIN(Variacion_vs_Libre!D10,Variacion_vs_Libre!D29,Variacion_vs_Libre!D48,Variacion_vs_Libre!D67,Variacion_vs_Libre!D86,Variacion_vs_Libre!D105,Variacion_vs_Libre!D124,Variacion_vs_Libre!D143,Variacion_vs_Libre!D162,Variacion_vs_Libre!D181,Variacion_vs_Libre!D200)</f>
        <v>0</v>
      </c>
      <c r="E9" s="11">
        <f>MAX(MAX(Variacion_vs_Libre!D10,Variacion_vs_Libre!D29,Variacion_vs_Libre!D48,Variacion_vs_Libre!D67,Variacion_vs_Libre!D86,Variacion_vs_Libre!D105,Variacion_vs_Libre!D124,Variacion_vs_Libre!D143,Variacion_vs_Libre!D162,Variacion_vs_Libre!D181,Variacion_vs_Libre!D200),-MIN(Variacion_vs_Libre!D10,Variacion_vs_Libre!D29,Variacion_vs_Libre!D48,Variacion_vs_Libre!D67,Variacion_vs_Libre!D86,Variacion_vs_Libre!D105,Variacion_vs_Libre!D124,Variacion_vs_Libre!D143,Variacion_vs_Libre!D162,Variacion_vs_Libre!D181,Variacion_vs_Libre!D200))</f>
        <v>0</v>
      </c>
      <c r="F9" s="11">
        <f>AVERAGE(Variacion_vs_Libre!F10,Variacion_vs_Libre!F29,Variacion_vs_Libre!F48,Variacion_vs_Libre!F67,Variacion_vs_Libre!F86,Variacion_vs_Libre!F105,Variacion_vs_Libre!F124,Variacion_vs_Libre!F143,Variacion_vs_Libre!F162,Variacion_vs_Libre!F181,Variacion_vs_Libre!F200)</f>
        <v>0</v>
      </c>
      <c r="G9" s="11">
        <f>STDEV(Variacion_vs_Libre!F10,Variacion_vs_Libre!F29,Variacion_vs_Libre!F48,Variacion_vs_Libre!F67,Variacion_vs_Libre!F86,Variacion_vs_Libre!F105,Variacion_vs_Libre!F124,Variacion_vs_Libre!F143,Variacion_vs_Libre!F162,Variacion_vs_Libre!F181,Variacion_vs_Libre!F200)</f>
        <v>0</v>
      </c>
      <c r="H9" s="11">
        <f>MAX(Variacion_vs_Libre!F10,Variacion_vs_Libre!F29,Variacion_vs_Libre!F48,Variacion_vs_Libre!F67,Variacion_vs_Libre!F86,Variacion_vs_Libre!F105,Variacion_vs_Libre!F124,Variacion_vs_Libre!F143,Variacion_vs_Libre!F162,Variacion_vs_Libre!F181,Variacion_vs_Libre!F200)-MIN(Variacion_vs_Libre!F10,Variacion_vs_Libre!F29,Variacion_vs_Libre!F48,Variacion_vs_Libre!F67,Variacion_vs_Libre!F86,Variacion_vs_Libre!F105,Variacion_vs_Libre!F124,Variacion_vs_Libre!F143,Variacion_vs_Libre!F162,Variacion_vs_Libre!F181,Variacion_vs_Libre!F200)</f>
        <v>0</v>
      </c>
      <c r="I9" s="11">
        <f>MAX(MAX(Variacion_vs_Libre!F10,Variacion_vs_Libre!F29,Variacion_vs_Libre!F48,Variacion_vs_Libre!F67,Variacion_vs_Libre!F86,Variacion_vs_Libre!F105,Variacion_vs_Libre!F124,Variacion_vs_Libre!F143,Variacion_vs_Libre!F162,Variacion_vs_Libre!F181,Variacion_vs_Libre!F200),-MIN(Variacion_vs_Libre!F10,Variacion_vs_Libre!F29,Variacion_vs_Libre!F48,Variacion_vs_Libre!F67,Variacion_vs_Libre!F86,Variacion_vs_Libre!F105,Variacion_vs_Libre!F124,Variacion_vs_Libre!F143,Variacion_vs_Libre!F162,Variacion_vs_Libre!F181,Variacion_vs_Libre!F200))</f>
        <v>0</v>
      </c>
      <c r="J9" s="11">
        <f>AVERAGE(Variacion_vs_Libre!H10,Variacion_vs_Libre!H29,Variacion_vs_Libre!H48,Variacion_vs_Libre!H67,Variacion_vs_Libre!H86,Variacion_vs_Libre!H105,Variacion_vs_Libre!H124,Variacion_vs_Libre!H143,Variacion_vs_Libre!H162,Variacion_vs_Libre!H181,Variacion_vs_Libre!H200)</f>
        <v>9.4951704162421508E-3</v>
      </c>
      <c r="K9" s="11">
        <f>STDEV(Variacion_vs_Libre!H10,Variacion_vs_Libre!H29,Variacion_vs_Libre!H48,Variacion_vs_Libre!H67,Variacion_vs_Libre!H86,Variacion_vs_Libre!H105,Variacion_vs_Libre!H124,Variacion_vs_Libre!H143,Variacion_vs_Libre!H162,Variacion_vs_Libre!H181,Variacion_vs_Libre!H200)</f>
        <v>3.7295695576475232E-2</v>
      </c>
      <c r="L9" s="11">
        <f>MAX(Variacion_vs_Libre!H10,Variacion_vs_Libre!H29,Variacion_vs_Libre!H48,Variacion_vs_Libre!H67,Variacion_vs_Libre!H86,Variacion_vs_Libre!H105,Variacion_vs_Libre!H124,Variacion_vs_Libre!H143,Variacion_vs_Libre!H162,Variacion_vs_Libre!H181,Variacion_vs_Libre!H200)-MIN(Variacion_vs_Libre!H10,Variacion_vs_Libre!H29,Variacion_vs_Libre!H48,Variacion_vs_Libre!H67,Variacion_vs_Libre!H86,Variacion_vs_Libre!H105,Variacion_vs_Libre!H124,Variacion_vs_Libre!H143,Variacion_vs_Libre!H162,Variacion_vs_Libre!H181,Variacion_vs_Libre!H200)</f>
        <v>0.11693890695357842</v>
      </c>
      <c r="M9" s="11">
        <f>MAX(MAX(Variacion_vs_Libre!H10,Variacion_vs_Libre!H29,Variacion_vs_Libre!H48,Variacion_vs_Libre!H67,Variacion_vs_Libre!H86,Variacion_vs_Libre!H105,Variacion_vs_Libre!H124,Variacion_vs_Libre!H143,Variacion_vs_Libre!H162,Variacion_vs_Libre!H181,Variacion_vs_Libre!H200),-MIN(Variacion_vs_Libre!H10,Variacion_vs_Libre!H29,Variacion_vs_Libre!H48,Variacion_vs_Libre!H67,Variacion_vs_Libre!H86,Variacion_vs_Libre!H105,Variacion_vs_Libre!H124,Variacion_vs_Libre!H143,Variacion_vs_Libre!H162,Variacion_vs_Libre!H181,Variacion_vs_Libre!H200))</f>
        <v>8.0031073921956505E-2</v>
      </c>
      <c r="N9" s="11">
        <f>AVERAGE(Variacion_vs_Libre!L10,Variacion_vs_Libre!L29,Variacion_vs_Libre!L48,Variacion_vs_Libre!L67,Variacion_vs_Libre!L86,Variacion_vs_Libre!L105,Variacion_vs_Libre!L124,Variacion_vs_Libre!L143,Variacion_vs_Libre!L162,Variacion_vs_Libre!L181,Variacion_vs_Libre!L200)</f>
        <v>-0.11313237468870009</v>
      </c>
      <c r="O9" s="11">
        <f>STDEV(Variacion_vs_Libre!L10,Variacion_vs_Libre!L29,Variacion_vs_Libre!L48,Variacion_vs_Libre!L67,Variacion_vs_Libre!L86,Variacion_vs_Libre!L105,Variacion_vs_Libre!L124,Variacion_vs_Libre!L143,Variacion_vs_Libre!L162,Variacion_vs_Libre!L181,Variacion_vs_Libre!L200)</f>
        <v>0.17591359868779188</v>
      </c>
      <c r="P9" s="11">
        <f>MAX(Variacion_vs_Libre!L10,Variacion_vs_Libre!L29,Variacion_vs_Libre!L48,Variacion_vs_Libre!L67,Variacion_vs_Libre!L86,Variacion_vs_Libre!L105,Variacion_vs_Libre!L124,Variacion_vs_Libre!L143,Variacion_vs_Libre!L162,Variacion_vs_Libre!L181,Variacion_vs_Libre!L200)-MIN(Variacion_vs_Libre!L10,Variacion_vs_Libre!L29,Variacion_vs_Libre!L48,Variacion_vs_Libre!L67,Variacion_vs_Libre!L86,Variacion_vs_Libre!L105,Variacion_vs_Libre!L124,Variacion_vs_Libre!L143,Variacion_vs_Libre!L162,Variacion_vs_Libre!L181,Variacion_vs_Libre!L200)</f>
        <v>0.51316005038564372</v>
      </c>
      <c r="Q9" s="11">
        <f>MAX(MAX(Variacion_vs_Libre!L10,Variacion_vs_Libre!L29,Variacion_vs_Libre!L48,Variacion_vs_Libre!L67,Variacion_vs_Libre!L86,Variacion_vs_Libre!L105,Variacion_vs_Libre!L124,Variacion_vs_Libre!L143,Variacion_vs_Libre!L162,Variacion_vs_Libre!L181,Variacion_vs_Libre!L200),-MIN(Variacion_vs_Libre!L10,Variacion_vs_Libre!L29,Variacion_vs_Libre!L48,Variacion_vs_Libre!L67,Variacion_vs_Libre!L86,Variacion_vs_Libre!L105,Variacion_vs_Libre!L124,Variacion_vs_Libre!L143,Variacion_vs_Libre!L162,Variacion_vs_Libre!L181,Variacion_vs_Libre!L200))</f>
        <v>0.35813944557999794</v>
      </c>
    </row>
    <row r="10" spans="1:17" x14ac:dyDescent="0.3">
      <c r="A10" s="4" t="s">
        <v>31</v>
      </c>
      <c r="B10" s="11">
        <f>AVERAGE(Variacion_vs_Libre!D11,Variacion_vs_Libre!D30,Variacion_vs_Libre!D49,Variacion_vs_Libre!D68,Variacion_vs_Libre!D87,Variacion_vs_Libre!D106,Variacion_vs_Libre!D125,Variacion_vs_Libre!D144,Variacion_vs_Libre!D163,Variacion_vs_Libre!D182,Variacion_vs_Libre!D201)</f>
        <v>0</v>
      </c>
      <c r="C10" s="11">
        <f>STDEV(Variacion_vs_Libre!D11,Variacion_vs_Libre!D30,Variacion_vs_Libre!D49,Variacion_vs_Libre!D68,Variacion_vs_Libre!D87,Variacion_vs_Libre!D106,Variacion_vs_Libre!D125,Variacion_vs_Libre!D144,Variacion_vs_Libre!D163,Variacion_vs_Libre!D182,Variacion_vs_Libre!D201)</f>
        <v>0</v>
      </c>
      <c r="D10" s="11">
        <f>MAX(Variacion_vs_Libre!D11,Variacion_vs_Libre!D30,Variacion_vs_Libre!D49,Variacion_vs_Libre!D68,Variacion_vs_Libre!D87,Variacion_vs_Libre!D106,Variacion_vs_Libre!D125,Variacion_vs_Libre!D144,Variacion_vs_Libre!D163,Variacion_vs_Libre!D182,Variacion_vs_Libre!D201)-MIN(Variacion_vs_Libre!D11,Variacion_vs_Libre!D30,Variacion_vs_Libre!D49,Variacion_vs_Libre!D68,Variacion_vs_Libre!D87,Variacion_vs_Libre!D106,Variacion_vs_Libre!D125,Variacion_vs_Libre!D144,Variacion_vs_Libre!D163,Variacion_vs_Libre!D182,Variacion_vs_Libre!D201)</f>
        <v>0</v>
      </c>
      <c r="E10" s="11">
        <f>MAX(MAX(Variacion_vs_Libre!D11,Variacion_vs_Libre!D30,Variacion_vs_Libre!D49,Variacion_vs_Libre!D68,Variacion_vs_Libre!D87,Variacion_vs_Libre!D106,Variacion_vs_Libre!D125,Variacion_vs_Libre!D144,Variacion_vs_Libre!D163,Variacion_vs_Libre!D182,Variacion_vs_Libre!D201),-MIN(Variacion_vs_Libre!D11,Variacion_vs_Libre!D30,Variacion_vs_Libre!D49,Variacion_vs_Libre!D68,Variacion_vs_Libre!D87,Variacion_vs_Libre!D106,Variacion_vs_Libre!D125,Variacion_vs_Libre!D144,Variacion_vs_Libre!D163,Variacion_vs_Libre!D182,Variacion_vs_Libre!D201))</f>
        <v>0</v>
      </c>
      <c r="F10" s="11">
        <f>AVERAGE(Variacion_vs_Libre!F11,Variacion_vs_Libre!F30,Variacion_vs_Libre!F49,Variacion_vs_Libre!F68,Variacion_vs_Libre!F87,Variacion_vs_Libre!F106,Variacion_vs_Libre!F125,Variacion_vs_Libre!F144,Variacion_vs_Libre!F163,Variacion_vs_Libre!F182,Variacion_vs_Libre!F201)</f>
        <v>0</v>
      </c>
      <c r="G10" s="11">
        <f>STDEV(Variacion_vs_Libre!F11,Variacion_vs_Libre!F30,Variacion_vs_Libre!F49,Variacion_vs_Libre!F68,Variacion_vs_Libre!F87,Variacion_vs_Libre!F106,Variacion_vs_Libre!F125,Variacion_vs_Libre!F144,Variacion_vs_Libre!F163,Variacion_vs_Libre!F182,Variacion_vs_Libre!F201)</f>
        <v>0</v>
      </c>
      <c r="H10" s="11">
        <f>MAX(Variacion_vs_Libre!F11,Variacion_vs_Libre!F30,Variacion_vs_Libre!F49,Variacion_vs_Libre!F68,Variacion_vs_Libre!F87,Variacion_vs_Libre!F106,Variacion_vs_Libre!F125,Variacion_vs_Libre!F144,Variacion_vs_Libre!F163,Variacion_vs_Libre!F182,Variacion_vs_Libre!F201)-MIN(Variacion_vs_Libre!F11,Variacion_vs_Libre!F30,Variacion_vs_Libre!F49,Variacion_vs_Libre!F68,Variacion_vs_Libre!F87,Variacion_vs_Libre!F106,Variacion_vs_Libre!F125,Variacion_vs_Libre!F144,Variacion_vs_Libre!F163,Variacion_vs_Libre!F182,Variacion_vs_Libre!F201)</f>
        <v>0</v>
      </c>
      <c r="I10" s="11">
        <f>MAX(MAX(Variacion_vs_Libre!F11,Variacion_vs_Libre!F30,Variacion_vs_Libre!F49,Variacion_vs_Libre!F68,Variacion_vs_Libre!F87,Variacion_vs_Libre!F106,Variacion_vs_Libre!F125,Variacion_vs_Libre!F144,Variacion_vs_Libre!F163,Variacion_vs_Libre!F182,Variacion_vs_Libre!F201),-MIN(Variacion_vs_Libre!F11,Variacion_vs_Libre!F30,Variacion_vs_Libre!F49,Variacion_vs_Libre!F68,Variacion_vs_Libre!F87,Variacion_vs_Libre!F106,Variacion_vs_Libre!F125,Variacion_vs_Libre!F144,Variacion_vs_Libre!F163,Variacion_vs_Libre!F182,Variacion_vs_Libre!F201))</f>
        <v>0</v>
      </c>
      <c r="J10" s="11">
        <f>AVERAGE(Variacion_vs_Libre!H11,Variacion_vs_Libre!H30,Variacion_vs_Libre!H49,Variacion_vs_Libre!H68,Variacion_vs_Libre!H87,Variacion_vs_Libre!H106,Variacion_vs_Libre!H125,Variacion_vs_Libre!H144,Variacion_vs_Libre!H163,Variacion_vs_Libre!H182,Variacion_vs_Libre!H201)</f>
        <v>1.8075146468280897E-2</v>
      </c>
      <c r="K10" s="11">
        <f>STDEV(Variacion_vs_Libre!H11,Variacion_vs_Libre!H30,Variacion_vs_Libre!H49,Variacion_vs_Libre!H68,Variacion_vs_Libre!H87,Variacion_vs_Libre!H106,Variacion_vs_Libre!H125,Variacion_vs_Libre!H144,Variacion_vs_Libre!H163,Variacion_vs_Libre!H182,Variacion_vs_Libre!H201)</f>
        <v>3.6597480009775613E-2</v>
      </c>
      <c r="L10" s="11">
        <f>MAX(Variacion_vs_Libre!H11,Variacion_vs_Libre!H30,Variacion_vs_Libre!H49,Variacion_vs_Libre!H68,Variacion_vs_Libre!H87,Variacion_vs_Libre!H106,Variacion_vs_Libre!H125,Variacion_vs_Libre!H144,Variacion_vs_Libre!H163,Variacion_vs_Libre!H182,Variacion_vs_Libre!H201)-MIN(Variacion_vs_Libre!H11,Variacion_vs_Libre!H30,Variacion_vs_Libre!H49,Variacion_vs_Libre!H68,Variacion_vs_Libre!H87,Variacion_vs_Libre!H106,Variacion_vs_Libre!H125,Variacion_vs_Libre!H144,Variacion_vs_Libre!H163,Variacion_vs_Libre!H182,Variacion_vs_Libre!H201)</f>
        <v>0.11507609979776075</v>
      </c>
      <c r="M10" s="11">
        <f>MAX(MAX(Variacion_vs_Libre!H11,Variacion_vs_Libre!H30,Variacion_vs_Libre!H49,Variacion_vs_Libre!H68,Variacion_vs_Libre!H87,Variacion_vs_Libre!H106,Variacion_vs_Libre!H125,Variacion_vs_Libre!H144,Variacion_vs_Libre!H163,Variacion_vs_Libre!H182,Variacion_vs_Libre!H201),-MIN(Variacion_vs_Libre!H11,Variacion_vs_Libre!H30,Variacion_vs_Libre!H49,Variacion_vs_Libre!H68,Variacion_vs_Libre!H87,Variacion_vs_Libre!H106,Variacion_vs_Libre!H125,Variacion_vs_Libre!H144,Variacion_vs_Libre!H163,Variacion_vs_Libre!H182,Variacion_vs_Libre!H201))</f>
        <v>8.7975043980283663E-2</v>
      </c>
      <c r="N10" s="11">
        <f>AVERAGE(Variacion_vs_Libre!L11,Variacion_vs_Libre!L30,Variacion_vs_Libre!L49,Variacion_vs_Libre!L68,Variacion_vs_Libre!L87,Variacion_vs_Libre!L106,Variacion_vs_Libre!L125,Variacion_vs_Libre!L144,Variacion_vs_Libre!L163,Variacion_vs_Libre!L182,Variacion_vs_Libre!L201)</f>
        <v>-0.12692960117649596</v>
      </c>
      <c r="O10" s="11">
        <f>STDEV(Variacion_vs_Libre!L11,Variacion_vs_Libre!L30,Variacion_vs_Libre!L49,Variacion_vs_Libre!L68,Variacion_vs_Libre!L87,Variacion_vs_Libre!L106,Variacion_vs_Libre!L125,Variacion_vs_Libre!L144,Variacion_vs_Libre!L163,Variacion_vs_Libre!L182,Variacion_vs_Libre!L201)</f>
        <v>0.1714435369293025</v>
      </c>
      <c r="P10" s="11">
        <f>MAX(Variacion_vs_Libre!L11,Variacion_vs_Libre!L30,Variacion_vs_Libre!L49,Variacion_vs_Libre!L68,Variacion_vs_Libre!L87,Variacion_vs_Libre!L106,Variacion_vs_Libre!L125,Variacion_vs_Libre!L144,Variacion_vs_Libre!L163,Variacion_vs_Libre!L182,Variacion_vs_Libre!L201)-MIN(Variacion_vs_Libre!L11,Variacion_vs_Libre!L30,Variacion_vs_Libre!L49,Variacion_vs_Libre!L68,Variacion_vs_Libre!L87,Variacion_vs_Libre!L106,Variacion_vs_Libre!L125,Variacion_vs_Libre!L144,Variacion_vs_Libre!L163,Variacion_vs_Libre!L182,Variacion_vs_Libre!L201)</f>
        <v>0.49988845245097291</v>
      </c>
      <c r="Q10" s="11">
        <f>MAX(MAX(Variacion_vs_Libre!L11,Variacion_vs_Libre!L30,Variacion_vs_Libre!L49,Variacion_vs_Libre!L68,Variacion_vs_Libre!L87,Variacion_vs_Libre!L106,Variacion_vs_Libre!L125,Variacion_vs_Libre!L144,Variacion_vs_Libre!L163,Variacion_vs_Libre!L182,Variacion_vs_Libre!L201),-MIN(Variacion_vs_Libre!L11,Variacion_vs_Libre!L30,Variacion_vs_Libre!L49,Variacion_vs_Libre!L68,Variacion_vs_Libre!L87,Variacion_vs_Libre!L106,Variacion_vs_Libre!L125,Variacion_vs_Libre!L144,Variacion_vs_Libre!L163,Variacion_vs_Libre!L182,Variacion_vs_Libre!L201))</f>
        <v>0.36627266947804155</v>
      </c>
    </row>
    <row r="11" spans="1:17" x14ac:dyDescent="0.3">
      <c r="A11" s="4" t="s">
        <v>33</v>
      </c>
      <c r="B11" s="11">
        <f>AVERAGE(Variacion_vs_Libre!D12,Variacion_vs_Libre!D31,Variacion_vs_Libre!D50,Variacion_vs_Libre!D69,Variacion_vs_Libre!D88,Variacion_vs_Libre!D107,Variacion_vs_Libre!D126,Variacion_vs_Libre!D145,Variacion_vs_Libre!D164,Variacion_vs_Libre!D183,Variacion_vs_Libre!D202)</f>
        <v>0</v>
      </c>
      <c r="C11" s="11">
        <f>STDEV(Variacion_vs_Libre!D12,Variacion_vs_Libre!D31,Variacion_vs_Libre!D50,Variacion_vs_Libre!D69,Variacion_vs_Libre!D88,Variacion_vs_Libre!D107,Variacion_vs_Libre!D126,Variacion_vs_Libre!D145,Variacion_vs_Libre!D164,Variacion_vs_Libre!D183,Variacion_vs_Libre!D202)</f>
        <v>0</v>
      </c>
      <c r="D11" s="11">
        <f>MAX(Variacion_vs_Libre!D12,Variacion_vs_Libre!D31,Variacion_vs_Libre!D50,Variacion_vs_Libre!D69,Variacion_vs_Libre!D88,Variacion_vs_Libre!D107,Variacion_vs_Libre!D126,Variacion_vs_Libre!D145,Variacion_vs_Libre!D164,Variacion_vs_Libre!D183,Variacion_vs_Libre!D202)-MIN(Variacion_vs_Libre!D12,Variacion_vs_Libre!D31,Variacion_vs_Libre!D50,Variacion_vs_Libre!D69,Variacion_vs_Libre!D88,Variacion_vs_Libre!D107,Variacion_vs_Libre!D126,Variacion_vs_Libre!D145,Variacion_vs_Libre!D164,Variacion_vs_Libre!D183,Variacion_vs_Libre!D202)</f>
        <v>0</v>
      </c>
      <c r="E11" s="11">
        <f>MAX(MAX(Variacion_vs_Libre!D12,Variacion_vs_Libre!D31,Variacion_vs_Libre!D50,Variacion_vs_Libre!D69,Variacion_vs_Libre!D88,Variacion_vs_Libre!D107,Variacion_vs_Libre!D126,Variacion_vs_Libre!D145,Variacion_vs_Libre!D164,Variacion_vs_Libre!D183,Variacion_vs_Libre!D202),-MIN(Variacion_vs_Libre!D12,Variacion_vs_Libre!D31,Variacion_vs_Libre!D50,Variacion_vs_Libre!D69,Variacion_vs_Libre!D88,Variacion_vs_Libre!D107,Variacion_vs_Libre!D126,Variacion_vs_Libre!D145,Variacion_vs_Libre!D164,Variacion_vs_Libre!D183,Variacion_vs_Libre!D202))</f>
        <v>0</v>
      </c>
      <c r="F11" s="11">
        <f>AVERAGE(Variacion_vs_Libre!F12,Variacion_vs_Libre!F31,Variacion_vs_Libre!F50,Variacion_vs_Libre!F69,Variacion_vs_Libre!F88,Variacion_vs_Libre!F107,Variacion_vs_Libre!F126,Variacion_vs_Libre!F145,Variacion_vs_Libre!F164,Variacion_vs_Libre!F183,Variacion_vs_Libre!F202)</f>
        <v>0</v>
      </c>
      <c r="G11" s="11">
        <f>STDEV(Variacion_vs_Libre!F12,Variacion_vs_Libre!F31,Variacion_vs_Libre!F50,Variacion_vs_Libre!F69,Variacion_vs_Libre!F88,Variacion_vs_Libre!F107,Variacion_vs_Libre!F126,Variacion_vs_Libre!F145,Variacion_vs_Libre!F164,Variacion_vs_Libre!F183,Variacion_vs_Libre!F202)</f>
        <v>0</v>
      </c>
      <c r="H11" s="11">
        <f>MAX(Variacion_vs_Libre!F12,Variacion_vs_Libre!F31,Variacion_vs_Libre!F50,Variacion_vs_Libre!F69,Variacion_vs_Libre!F88,Variacion_vs_Libre!F107,Variacion_vs_Libre!F126,Variacion_vs_Libre!F145,Variacion_vs_Libre!F164,Variacion_vs_Libre!F183,Variacion_vs_Libre!F202)-MIN(Variacion_vs_Libre!F12,Variacion_vs_Libre!F31,Variacion_vs_Libre!F50,Variacion_vs_Libre!F69,Variacion_vs_Libre!F88,Variacion_vs_Libre!F107,Variacion_vs_Libre!F126,Variacion_vs_Libre!F145,Variacion_vs_Libre!F164,Variacion_vs_Libre!F183,Variacion_vs_Libre!F202)</f>
        <v>0</v>
      </c>
      <c r="I11" s="11">
        <f>MAX(MAX(Variacion_vs_Libre!F12,Variacion_vs_Libre!F31,Variacion_vs_Libre!F50,Variacion_vs_Libre!F69,Variacion_vs_Libre!F88,Variacion_vs_Libre!F107,Variacion_vs_Libre!F126,Variacion_vs_Libre!F145,Variacion_vs_Libre!F164,Variacion_vs_Libre!F183,Variacion_vs_Libre!F202),-MIN(Variacion_vs_Libre!F12,Variacion_vs_Libre!F31,Variacion_vs_Libre!F50,Variacion_vs_Libre!F69,Variacion_vs_Libre!F88,Variacion_vs_Libre!F107,Variacion_vs_Libre!F126,Variacion_vs_Libre!F145,Variacion_vs_Libre!F164,Variacion_vs_Libre!F183,Variacion_vs_Libre!F202))</f>
        <v>0</v>
      </c>
      <c r="J11" s="11">
        <f>AVERAGE(Variacion_vs_Libre!H12,Variacion_vs_Libre!H31,Variacion_vs_Libre!H50,Variacion_vs_Libre!H69,Variacion_vs_Libre!H88,Variacion_vs_Libre!H107,Variacion_vs_Libre!H126,Variacion_vs_Libre!H145,Variacion_vs_Libre!H164,Variacion_vs_Libre!H183,Variacion_vs_Libre!H202)</f>
        <v>2.5724823045536856E-2</v>
      </c>
      <c r="K11" s="11">
        <f>STDEV(Variacion_vs_Libre!H12,Variacion_vs_Libre!H31,Variacion_vs_Libre!H50,Variacion_vs_Libre!H69,Variacion_vs_Libre!H88,Variacion_vs_Libre!H107,Variacion_vs_Libre!H126,Variacion_vs_Libre!H145,Variacion_vs_Libre!H164,Variacion_vs_Libre!H183,Variacion_vs_Libre!H202)</f>
        <v>3.3585654922431263E-2</v>
      </c>
      <c r="L11" s="11">
        <f>MAX(Variacion_vs_Libre!H12,Variacion_vs_Libre!H31,Variacion_vs_Libre!H50,Variacion_vs_Libre!H69,Variacion_vs_Libre!H88,Variacion_vs_Libre!H107,Variacion_vs_Libre!H126,Variacion_vs_Libre!H145,Variacion_vs_Libre!H164,Variacion_vs_Libre!H183,Variacion_vs_Libre!H202)-MIN(Variacion_vs_Libre!H12,Variacion_vs_Libre!H31,Variacion_vs_Libre!H50,Variacion_vs_Libre!H69,Variacion_vs_Libre!H88,Variacion_vs_Libre!H107,Variacion_vs_Libre!H126,Variacion_vs_Libre!H145,Variacion_vs_Libre!H164,Variacion_vs_Libre!H183,Variacion_vs_Libre!H202)</f>
        <v>0.10535995394128841</v>
      </c>
      <c r="M11" s="11">
        <f>MAX(MAX(Variacion_vs_Libre!H12,Variacion_vs_Libre!H31,Variacion_vs_Libre!H50,Variacion_vs_Libre!H69,Variacion_vs_Libre!H88,Variacion_vs_Libre!H107,Variacion_vs_Libre!H126,Variacion_vs_Libre!H145,Variacion_vs_Libre!H164,Variacion_vs_Libre!H183,Variacion_vs_Libre!H202),-MIN(Variacion_vs_Libre!H12,Variacion_vs_Libre!H31,Variacion_vs_Libre!H50,Variacion_vs_Libre!H69,Variacion_vs_Libre!H88,Variacion_vs_Libre!H107,Variacion_vs_Libre!H126,Variacion_vs_Libre!H145,Variacion_vs_Libre!H164,Variacion_vs_Libre!H183,Variacion_vs_Libre!H202))</f>
        <v>9.1999991993641825E-2</v>
      </c>
      <c r="N11" s="11">
        <f>AVERAGE(Variacion_vs_Libre!L12,Variacion_vs_Libre!L31,Variacion_vs_Libre!L50,Variacion_vs_Libre!L69,Variacion_vs_Libre!L88,Variacion_vs_Libre!L107,Variacion_vs_Libre!L126,Variacion_vs_Libre!L145,Variacion_vs_Libre!L164,Variacion_vs_Libre!L183,Variacion_vs_Libre!L202)</f>
        <v>-0.15048964831011585</v>
      </c>
      <c r="O11" s="11">
        <f>STDEV(Variacion_vs_Libre!L12,Variacion_vs_Libre!L31,Variacion_vs_Libre!L50,Variacion_vs_Libre!L69,Variacion_vs_Libre!L88,Variacion_vs_Libre!L107,Variacion_vs_Libre!L126,Variacion_vs_Libre!L145,Variacion_vs_Libre!L164,Variacion_vs_Libre!L183,Variacion_vs_Libre!L202)</f>
        <v>0.16303826003944205</v>
      </c>
      <c r="P11" s="11">
        <f>MAX(Variacion_vs_Libre!L12,Variacion_vs_Libre!L31,Variacion_vs_Libre!L50,Variacion_vs_Libre!L69,Variacion_vs_Libre!L88,Variacion_vs_Libre!L107,Variacion_vs_Libre!L126,Variacion_vs_Libre!L145,Variacion_vs_Libre!L164,Variacion_vs_Libre!L183,Variacion_vs_Libre!L202)-MIN(Variacion_vs_Libre!L12,Variacion_vs_Libre!L31,Variacion_vs_Libre!L50,Variacion_vs_Libre!L69,Variacion_vs_Libre!L88,Variacion_vs_Libre!L107,Variacion_vs_Libre!L126,Variacion_vs_Libre!L145,Variacion_vs_Libre!L164,Variacion_vs_Libre!L183,Variacion_vs_Libre!L202)</f>
        <v>0.47471842777323547</v>
      </c>
      <c r="Q11" s="11">
        <f>MAX(MAX(Variacion_vs_Libre!L12,Variacion_vs_Libre!L31,Variacion_vs_Libre!L50,Variacion_vs_Libre!L69,Variacion_vs_Libre!L88,Variacion_vs_Libre!L107,Variacion_vs_Libre!L126,Variacion_vs_Libre!L145,Variacion_vs_Libre!L164,Variacion_vs_Libre!L183,Variacion_vs_Libre!L202),-MIN(Variacion_vs_Libre!L12,Variacion_vs_Libre!L31,Variacion_vs_Libre!L50,Variacion_vs_Libre!L69,Variacion_vs_Libre!L88,Variacion_vs_Libre!L107,Variacion_vs_Libre!L126,Variacion_vs_Libre!L145,Variacion_vs_Libre!L164,Variacion_vs_Libre!L183,Variacion_vs_Libre!L202))</f>
        <v>0.37908045770817927</v>
      </c>
    </row>
    <row r="12" spans="1:17" x14ac:dyDescent="0.3">
      <c r="A12" s="4" t="s">
        <v>35</v>
      </c>
      <c r="B12" s="11">
        <f>AVERAGE(Variacion_vs_Libre!D13,Variacion_vs_Libre!D32,Variacion_vs_Libre!D51,Variacion_vs_Libre!D70,Variacion_vs_Libre!D89,Variacion_vs_Libre!D108,Variacion_vs_Libre!D127,Variacion_vs_Libre!D146,Variacion_vs_Libre!D165,Variacion_vs_Libre!D184,Variacion_vs_Libre!D203)</f>
        <v>0</v>
      </c>
      <c r="C12" s="11">
        <f>STDEV(Variacion_vs_Libre!D13,Variacion_vs_Libre!D32,Variacion_vs_Libre!D51,Variacion_vs_Libre!D70,Variacion_vs_Libre!D89,Variacion_vs_Libre!D108,Variacion_vs_Libre!D127,Variacion_vs_Libre!D146,Variacion_vs_Libre!D165,Variacion_vs_Libre!D184,Variacion_vs_Libre!D203)</f>
        <v>0</v>
      </c>
      <c r="D12" s="11">
        <f>MAX(Variacion_vs_Libre!D13,Variacion_vs_Libre!D32,Variacion_vs_Libre!D51,Variacion_vs_Libre!D70,Variacion_vs_Libre!D89,Variacion_vs_Libre!D108,Variacion_vs_Libre!D127,Variacion_vs_Libre!D146,Variacion_vs_Libre!D165,Variacion_vs_Libre!D184,Variacion_vs_Libre!D203)-MIN(Variacion_vs_Libre!D13,Variacion_vs_Libre!D32,Variacion_vs_Libre!D51,Variacion_vs_Libre!D70,Variacion_vs_Libre!D89,Variacion_vs_Libre!D108,Variacion_vs_Libre!D127,Variacion_vs_Libre!D146,Variacion_vs_Libre!D165,Variacion_vs_Libre!D184,Variacion_vs_Libre!D203)</f>
        <v>0</v>
      </c>
      <c r="E12" s="11">
        <f>MAX(MAX(Variacion_vs_Libre!D13,Variacion_vs_Libre!D32,Variacion_vs_Libre!D51,Variacion_vs_Libre!D70,Variacion_vs_Libre!D89,Variacion_vs_Libre!D108,Variacion_vs_Libre!D127,Variacion_vs_Libre!D146,Variacion_vs_Libre!D165,Variacion_vs_Libre!D184,Variacion_vs_Libre!D203),-MIN(Variacion_vs_Libre!D13,Variacion_vs_Libre!D32,Variacion_vs_Libre!D51,Variacion_vs_Libre!D70,Variacion_vs_Libre!D89,Variacion_vs_Libre!D108,Variacion_vs_Libre!D127,Variacion_vs_Libre!D146,Variacion_vs_Libre!D165,Variacion_vs_Libre!D184,Variacion_vs_Libre!D203))</f>
        <v>0</v>
      </c>
      <c r="F12" s="11">
        <f>AVERAGE(Variacion_vs_Libre!F13,Variacion_vs_Libre!F32,Variacion_vs_Libre!F51,Variacion_vs_Libre!F70,Variacion_vs_Libre!F89,Variacion_vs_Libre!F108,Variacion_vs_Libre!F127,Variacion_vs_Libre!F146,Variacion_vs_Libre!F165,Variacion_vs_Libre!F184,Variacion_vs_Libre!F203)</f>
        <v>0</v>
      </c>
      <c r="G12" s="11">
        <f>STDEV(Variacion_vs_Libre!F13,Variacion_vs_Libre!F32,Variacion_vs_Libre!F51,Variacion_vs_Libre!F70,Variacion_vs_Libre!F89,Variacion_vs_Libre!F108,Variacion_vs_Libre!F127,Variacion_vs_Libre!F146,Variacion_vs_Libre!F165,Variacion_vs_Libre!F184,Variacion_vs_Libre!F203)</f>
        <v>0</v>
      </c>
      <c r="H12" s="11">
        <f>MAX(Variacion_vs_Libre!F13,Variacion_vs_Libre!F32,Variacion_vs_Libre!F51,Variacion_vs_Libre!F70,Variacion_vs_Libre!F89,Variacion_vs_Libre!F108,Variacion_vs_Libre!F127,Variacion_vs_Libre!F146,Variacion_vs_Libre!F165,Variacion_vs_Libre!F184,Variacion_vs_Libre!F203)-MIN(Variacion_vs_Libre!F13,Variacion_vs_Libre!F32,Variacion_vs_Libre!F51,Variacion_vs_Libre!F70,Variacion_vs_Libre!F89,Variacion_vs_Libre!F108,Variacion_vs_Libre!F127,Variacion_vs_Libre!F146,Variacion_vs_Libre!F165,Variacion_vs_Libre!F184,Variacion_vs_Libre!F203)</f>
        <v>0</v>
      </c>
      <c r="I12" s="11">
        <f>MAX(MAX(Variacion_vs_Libre!F13,Variacion_vs_Libre!F32,Variacion_vs_Libre!F51,Variacion_vs_Libre!F70,Variacion_vs_Libre!F89,Variacion_vs_Libre!F108,Variacion_vs_Libre!F127,Variacion_vs_Libre!F146,Variacion_vs_Libre!F165,Variacion_vs_Libre!F184,Variacion_vs_Libre!F203),-MIN(Variacion_vs_Libre!F13,Variacion_vs_Libre!F32,Variacion_vs_Libre!F51,Variacion_vs_Libre!F70,Variacion_vs_Libre!F89,Variacion_vs_Libre!F108,Variacion_vs_Libre!F127,Variacion_vs_Libre!F146,Variacion_vs_Libre!F165,Variacion_vs_Libre!F184,Variacion_vs_Libre!F203))</f>
        <v>0</v>
      </c>
      <c r="J12" s="11">
        <f>AVERAGE(Variacion_vs_Libre!H13,Variacion_vs_Libre!H32,Variacion_vs_Libre!H51,Variacion_vs_Libre!H70,Variacion_vs_Libre!H89,Variacion_vs_Libre!H108,Variacion_vs_Libre!H127,Variacion_vs_Libre!H146,Variacion_vs_Libre!H165,Variacion_vs_Libre!H184,Variacion_vs_Libre!H203)</f>
        <v>2.5937775682376374E-2</v>
      </c>
      <c r="K12" s="11">
        <f>STDEV(Variacion_vs_Libre!H13,Variacion_vs_Libre!H32,Variacion_vs_Libre!H51,Variacion_vs_Libre!H70,Variacion_vs_Libre!H89,Variacion_vs_Libre!H108,Variacion_vs_Libre!H127,Variacion_vs_Libre!H146,Variacion_vs_Libre!H165,Variacion_vs_Libre!H184,Variacion_vs_Libre!H203)</f>
        <v>3.074115666908811E-2</v>
      </c>
      <c r="L12" s="11">
        <f>MAX(Variacion_vs_Libre!H13,Variacion_vs_Libre!H32,Variacion_vs_Libre!H51,Variacion_vs_Libre!H70,Variacion_vs_Libre!H89,Variacion_vs_Libre!H108,Variacion_vs_Libre!H127,Variacion_vs_Libre!H146,Variacion_vs_Libre!H165,Variacion_vs_Libre!H184,Variacion_vs_Libre!H203)-MIN(Variacion_vs_Libre!H13,Variacion_vs_Libre!H32,Variacion_vs_Libre!H51,Variacion_vs_Libre!H70,Variacion_vs_Libre!H89,Variacion_vs_Libre!H108,Variacion_vs_Libre!H127,Variacion_vs_Libre!H146,Variacion_vs_Libre!H165,Variacion_vs_Libre!H184,Variacion_vs_Libre!H203)</f>
        <v>9.580220902255969E-2</v>
      </c>
      <c r="M12" s="11">
        <f>MAX(MAX(Variacion_vs_Libre!H13,Variacion_vs_Libre!H32,Variacion_vs_Libre!H51,Variacion_vs_Libre!H70,Variacion_vs_Libre!H89,Variacion_vs_Libre!H108,Variacion_vs_Libre!H127,Variacion_vs_Libre!H146,Variacion_vs_Libre!H165,Variacion_vs_Libre!H184,Variacion_vs_Libre!H203),-MIN(Variacion_vs_Libre!H13,Variacion_vs_Libre!H32,Variacion_vs_Libre!H51,Variacion_vs_Libre!H70,Variacion_vs_Libre!H89,Variacion_vs_Libre!H108,Variacion_vs_Libre!H127,Variacion_vs_Libre!H146,Variacion_vs_Libre!H165,Variacion_vs_Libre!H184,Variacion_vs_Libre!H203))</f>
        <v>8.791970212661912E-2</v>
      </c>
      <c r="N12" s="11">
        <f>AVERAGE(Variacion_vs_Libre!L13,Variacion_vs_Libre!L32,Variacion_vs_Libre!L51,Variacion_vs_Libre!L70,Variacion_vs_Libre!L89,Variacion_vs_Libre!L108,Variacion_vs_Libre!L127,Variacion_vs_Libre!L146,Variacion_vs_Libre!L165,Variacion_vs_Libre!L184,Variacion_vs_Libre!L203)</f>
        <v>-0.16106750522716953</v>
      </c>
      <c r="O12" s="11">
        <f>STDEV(Variacion_vs_Libre!L13,Variacion_vs_Libre!L32,Variacion_vs_Libre!L51,Variacion_vs_Libre!L70,Variacion_vs_Libre!L89,Variacion_vs_Libre!L108,Variacion_vs_Libre!L127,Variacion_vs_Libre!L146,Variacion_vs_Libre!L165,Variacion_vs_Libre!L184,Variacion_vs_Libre!L203)</f>
        <v>0.15886216638556133</v>
      </c>
      <c r="P12" s="11">
        <f>MAX(Variacion_vs_Libre!L13,Variacion_vs_Libre!L32,Variacion_vs_Libre!L51,Variacion_vs_Libre!L70,Variacion_vs_Libre!L89,Variacion_vs_Libre!L108,Variacion_vs_Libre!L127,Variacion_vs_Libre!L146,Variacion_vs_Libre!L165,Variacion_vs_Libre!L184,Variacion_vs_Libre!L203)-MIN(Variacion_vs_Libre!L13,Variacion_vs_Libre!L32,Variacion_vs_Libre!L51,Variacion_vs_Libre!L70,Variacion_vs_Libre!L89,Variacion_vs_Libre!L108,Variacion_vs_Libre!L127,Variacion_vs_Libre!L146,Variacion_vs_Libre!L165,Variacion_vs_Libre!L184,Variacion_vs_Libre!L203)</f>
        <v>0.46215220295089821</v>
      </c>
      <c r="Q12" s="11">
        <f>MAX(MAX(Variacion_vs_Libre!L13,Variacion_vs_Libre!L32,Variacion_vs_Libre!L51,Variacion_vs_Libre!L70,Variacion_vs_Libre!L89,Variacion_vs_Libre!L108,Variacion_vs_Libre!L127,Variacion_vs_Libre!L146,Variacion_vs_Libre!L165,Variacion_vs_Libre!L184,Variacion_vs_Libre!L203),-MIN(Variacion_vs_Libre!L13,Variacion_vs_Libre!L32,Variacion_vs_Libre!L51,Variacion_vs_Libre!L70,Variacion_vs_Libre!L89,Variacion_vs_Libre!L108,Variacion_vs_Libre!L127,Variacion_vs_Libre!L146,Variacion_vs_Libre!L165,Variacion_vs_Libre!L184,Variacion_vs_Libre!L203))</f>
        <v>0.384308908870101</v>
      </c>
    </row>
    <row r="13" spans="1:17" x14ac:dyDescent="0.3">
      <c r="A13" s="4" t="s">
        <v>37</v>
      </c>
      <c r="B13" s="11">
        <f>AVERAGE(Variacion_vs_Libre!D14,Variacion_vs_Libre!D33,Variacion_vs_Libre!D52,Variacion_vs_Libre!D71,Variacion_vs_Libre!D90,Variacion_vs_Libre!D109,Variacion_vs_Libre!D128,Variacion_vs_Libre!D147,Variacion_vs_Libre!D166,Variacion_vs_Libre!D185,Variacion_vs_Libre!D204)</f>
        <v>0</v>
      </c>
      <c r="C13" s="11">
        <f>STDEV(Variacion_vs_Libre!D14,Variacion_vs_Libre!D33,Variacion_vs_Libre!D52,Variacion_vs_Libre!D71,Variacion_vs_Libre!D90,Variacion_vs_Libre!D109,Variacion_vs_Libre!D128,Variacion_vs_Libre!D147,Variacion_vs_Libre!D166,Variacion_vs_Libre!D185,Variacion_vs_Libre!D204)</f>
        <v>0</v>
      </c>
      <c r="D13" s="11">
        <f>MAX(Variacion_vs_Libre!D14,Variacion_vs_Libre!D33,Variacion_vs_Libre!D52,Variacion_vs_Libre!D71,Variacion_vs_Libre!D90,Variacion_vs_Libre!D109,Variacion_vs_Libre!D128,Variacion_vs_Libre!D147,Variacion_vs_Libre!D166,Variacion_vs_Libre!D185,Variacion_vs_Libre!D204)-MIN(Variacion_vs_Libre!D14,Variacion_vs_Libre!D33,Variacion_vs_Libre!D52,Variacion_vs_Libre!D71,Variacion_vs_Libre!D90,Variacion_vs_Libre!D109,Variacion_vs_Libre!D128,Variacion_vs_Libre!D147,Variacion_vs_Libre!D166,Variacion_vs_Libre!D185,Variacion_vs_Libre!D204)</f>
        <v>0</v>
      </c>
      <c r="E13" s="11">
        <f>MAX(MAX(Variacion_vs_Libre!D14,Variacion_vs_Libre!D33,Variacion_vs_Libre!D52,Variacion_vs_Libre!D71,Variacion_vs_Libre!D90,Variacion_vs_Libre!D109,Variacion_vs_Libre!D128,Variacion_vs_Libre!D147,Variacion_vs_Libre!D166,Variacion_vs_Libre!D185,Variacion_vs_Libre!D204),-MIN(Variacion_vs_Libre!D14,Variacion_vs_Libre!D33,Variacion_vs_Libre!D52,Variacion_vs_Libre!D71,Variacion_vs_Libre!D90,Variacion_vs_Libre!D109,Variacion_vs_Libre!D128,Variacion_vs_Libre!D147,Variacion_vs_Libre!D166,Variacion_vs_Libre!D185,Variacion_vs_Libre!D204))</f>
        <v>0</v>
      </c>
      <c r="F13" s="11">
        <f>AVERAGE(Variacion_vs_Libre!F14,Variacion_vs_Libre!F33,Variacion_vs_Libre!F52,Variacion_vs_Libre!F71,Variacion_vs_Libre!F90,Variacion_vs_Libre!F109,Variacion_vs_Libre!F128,Variacion_vs_Libre!F147,Variacion_vs_Libre!F166,Variacion_vs_Libre!F185,Variacion_vs_Libre!F204)</f>
        <v>0</v>
      </c>
      <c r="G13" s="11">
        <f>STDEV(Variacion_vs_Libre!F14,Variacion_vs_Libre!F33,Variacion_vs_Libre!F52,Variacion_vs_Libre!F71,Variacion_vs_Libre!F90,Variacion_vs_Libre!F109,Variacion_vs_Libre!F128,Variacion_vs_Libre!F147,Variacion_vs_Libre!F166,Variacion_vs_Libre!F185,Variacion_vs_Libre!F204)</f>
        <v>0</v>
      </c>
      <c r="H13" s="11">
        <f>MAX(Variacion_vs_Libre!F14,Variacion_vs_Libre!F33,Variacion_vs_Libre!F52,Variacion_vs_Libre!F71,Variacion_vs_Libre!F90,Variacion_vs_Libre!F109,Variacion_vs_Libre!F128,Variacion_vs_Libre!F147,Variacion_vs_Libre!F166,Variacion_vs_Libre!F185,Variacion_vs_Libre!F204)-MIN(Variacion_vs_Libre!F14,Variacion_vs_Libre!F33,Variacion_vs_Libre!F52,Variacion_vs_Libre!F71,Variacion_vs_Libre!F90,Variacion_vs_Libre!F109,Variacion_vs_Libre!F128,Variacion_vs_Libre!F147,Variacion_vs_Libre!F166,Variacion_vs_Libre!F185,Variacion_vs_Libre!F204)</f>
        <v>0</v>
      </c>
      <c r="I13" s="11">
        <f>MAX(MAX(Variacion_vs_Libre!F14,Variacion_vs_Libre!F33,Variacion_vs_Libre!F52,Variacion_vs_Libre!F71,Variacion_vs_Libre!F90,Variacion_vs_Libre!F109,Variacion_vs_Libre!F128,Variacion_vs_Libre!F147,Variacion_vs_Libre!F166,Variacion_vs_Libre!F185,Variacion_vs_Libre!F204),-MIN(Variacion_vs_Libre!F14,Variacion_vs_Libre!F33,Variacion_vs_Libre!F52,Variacion_vs_Libre!F71,Variacion_vs_Libre!F90,Variacion_vs_Libre!F109,Variacion_vs_Libre!F128,Variacion_vs_Libre!F147,Variacion_vs_Libre!F166,Variacion_vs_Libre!F185,Variacion_vs_Libre!F204))</f>
        <v>0</v>
      </c>
      <c r="J13" s="11">
        <f>AVERAGE(Variacion_vs_Libre!H14,Variacion_vs_Libre!H33,Variacion_vs_Libre!H52,Variacion_vs_Libre!H71,Variacion_vs_Libre!H90,Variacion_vs_Libre!H109,Variacion_vs_Libre!H128,Variacion_vs_Libre!H147,Variacion_vs_Libre!H166,Variacion_vs_Libre!H185,Variacion_vs_Libre!H204)</f>
        <v>2.3911851675277363E-2</v>
      </c>
      <c r="K13" s="11">
        <f>STDEV(Variacion_vs_Libre!H14,Variacion_vs_Libre!H33,Variacion_vs_Libre!H52,Variacion_vs_Libre!H71,Variacion_vs_Libre!H90,Variacion_vs_Libre!H109,Variacion_vs_Libre!H128,Variacion_vs_Libre!H147,Variacion_vs_Libre!H166,Variacion_vs_Libre!H185,Variacion_vs_Libre!H204)</f>
        <v>2.7398706378607203E-2</v>
      </c>
      <c r="L13" s="11">
        <f>MAX(Variacion_vs_Libre!H14,Variacion_vs_Libre!H33,Variacion_vs_Libre!H52,Variacion_vs_Libre!H71,Variacion_vs_Libre!H90,Variacion_vs_Libre!H109,Variacion_vs_Libre!H128,Variacion_vs_Libre!H147,Variacion_vs_Libre!H166,Variacion_vs_Libre!H185,Variacion_vs_Libre!H204)-MIN(Variacion_vs_Libre!H14,Variacion_vs_Libre!H33,Variacion_vs_Libre!H52,Variacion_vs_Libre!H71,Variacion_vs_Libre!H90,Variacion_vs_Libre!H109,Variacion_vs_Libre!H128,Variacion_vs_Libre!H147,Variacion_vs_Libre!H166,Variacion_vs_Libre!H185,Variacion_vs_Libre!H204)</f>
        <v>8.4662762056692112E-2</v>
      </c>
      <c r="M13" s="11">
        <f>MAX(MAX(Variacion_vs_Libre!H14,Variacion_vs_Libre!H33,Variacion_vs_Libre!H52,Variacion_vs_Libre!H71,Variacion_vs_Libre!H90,Variacion_vs_Libre!H109,Variacion_vs_Libre!H128,Variacion_vs_Libre!H147,Variacion_vs_Libre!H166,Variacion_vs_Libre!H185,Variacion_vs_Libre!H204),-MIN(Variacion_vs_Libre!H14,Variacion_vs_Libre!H33,Variacion_vs_Libre!H52,Variacion_vs_Libre!H71,Variacion_vs_Libre!H90,Variacion_vs_Libre!H109,Variacion_vs_Libre!H128,Variacion_vs_Libre!H147,Variacion_vs_Libre!H166,Variacion_vs_Libre!H185,Variacion_vs_Libre!H204))</f>
        <v>8.0834140825191886E-2</v>
      </c>
      <c r="N13" s="11">
        <f>AVERAGE(Variacion_vs_Libre!L14,Variacion_vs_Libre!L33,Variacion_vs_Libre!L52,Variacion_vs_Libre!L71,Variacion_vs_Libre!L90,Variacion_vs_Libre!L109,Variacion_vs_Libre!L128,Variacion_vs_Libre!L147,Variacion_vs_Libre!L166,Variacion_vs_Libre!L185,Variacion_vs_Libre!L204)</f>
        <v>-0.17101974812304174</v>
      </c>
      <c r="O13" s="11">
        <f>STDEV(Variacion_vs_Libre!L14,Variacion_vs_Libre!L33,Variacion_vs_Libre!L52,Variacion_vs_Libre!L71,Variacion_vs_Libre!L90,Variacion_vs_Libre!L109,Variacion_vs_Libre!L128,Variacion_vs_Libre!L147,Variacion_vs_Libre!L166,Variacion_vs_Libre!L185,Variacion_vs_Libre!L204)</f>
        <v>0.1546559842125608</v>
      </c>
      <c r="P13" s="11">
        <f>MAX(Variacion_vs_Libre!L14,Variacion_vs_Libre!L33,Variacion_vs_Libre!L52,Variacion_vs_Libre!L71,Variacion_vs_Libre!L90,Variacion_vs_Libre!L109,Variacion_vs_Libre!L128,Variacion_vs_Libre!L147,Variacion_vs_Libre!L166,Variacion_vs_Libre!L185,Variacion_vs_Libre!L204)-MIN(Variacion_vs_Libre!L14,Variacion_vs_Libre!L33,Variacion_vs_Libre!L52,Variacion_vs_Libre!L71,Variacion_vs_Libre!L90,Variacion_vs_Libre!L109,Variacion_vs_Libre!L128,Variacion_vs_Libre!L147,Variacion_vs_Libre!L166,Variacion_vs_Libre!L185,Variacion_vs_Libre!L204)</f>
        <v>0.44944717328319617</v>
      </c>
      <c r="Q13" s="11">
        <f>MAX(MAX(Variacion_vs_Libre!L14,Variacion_vs_Libre!L33,Variacion_vs_Libre!L52,Variacion_vs_Libre!L71,Variacion_vs_Libre!L90,Variacion_vs_Libre!L109,Variacion_vs_Libre!L128,Variacion_vs_Libre!L147,Variacion_vs_Libre!L166,Variacion_vs_Libre!L185,Variacion_vs_Libre!L204),-MIN(Variacion_vs_Libre!L14,Variacion_vs_Libre!L33,Variacion_vs_Libre!L52,Variacion_vs_Libre!L71,Variacion_vs_Libre!L90,Variacion_vs_Libre!L109,Variacion_vs_Libre!L128,Variacion_vs_Libre!L147,Variacion_vs_Libre!L166,Variacion_vs_Libre!L185,Variacion_vs_Libre!L204))</f>
        <v>0.38886589143277561</v>
      </c>
    </row>
    <row r="14" spans="1:17" x14ac:dyDescent="0.3">
      <c r="A14" s="4" t="s">
        <v>39</v>
      </c>
      <c r="B14" s="11">
        <f>AVERAGE(Variacion_vs_Libre!D15,Variacion_vs_Libre!D34,Variacion_vs_Libre!D53,Variacion_vs_Libre!D72,Variacion_vs_Libre!D91,Variacion_vs_Libre!D110,Variacion_vs_Libre!D129,Variacion_vs_Libre!D148,Variacion_vs_Libre!D167,Variacion_vs_Libre!D186,Variacion_vs_Libre!D205)</f>
        <v>0</v>
      </c>
      <c r="C14" s="11">
        <f>STDEV(Variacion_vs_Libre!D15,Variacion_vs_Libre!D34,Variacion_vs_Libre!D53,Variacion_vs_Libre!D72,Variacion_vs_Libre!D91,Variacion_vs_Libre!D110,Variacion_vs_Libre!D129,Variacion_vs_Libre!D148,Variacion_vs_Libre!D167,Variacion_vs_Libre!D186,Variacion_vs_Libre!D205)</f>
        <v>0</v>
      </c>
      <c r="D14" s="11">
        <f>MAX(Variacion_vs_Libre!D15,Variacion_vs_Libre!D34,Variacion_vs_Libre!D53,Variacion_vs_Libre!D72,Variacion_vs_Libre!D91,Variacion_vs_Libre!D110,Variacion_vs_Libre!D129,Variacion_vs_Libre!D148,Variacion_vs_Libre!D167,Variacion_vs_Libre!D186,Variacion_vs_Libre!D205)-MIN(Variacion_vs_Libre!D15,Variacion_vs_Libre!D34,Variacion_vs_Libre!D53,Variacion_vs_Libre!D72,Variacion_vs_Libre!D91,Variacion_vs_Libre!D110,Variacion_vs_Libre!D129,Variacion_vs_Libre!D148,Variacion_vs_Libre!D167,Variacion_vs_Libre!D186,Variacion_vs_Libre!D205)</f>
        <v>0</v>
      </c>
      <c r="E14" s="11">
        <f>MAX(MAX(Variacion_vs_Libre!D15,Variacion_vs_Libre!D34,Variacion_vs_Libre!D53,Variacion_vs_Libre!D72,Variacion_vs_Libre!D91,Variacion_vs_Libre!D110,Variacion_vs_Libre!D129,Variacion_vs_Libre!D148,Variacion_vs_Libre!D167,Variacion_vs_Libre!D186,Variacion_vs_Libre!D205),-MIN(Variacion_vs_Libre!D15,Variacion_vs_Libre!D34,Variacion_vs_Libre!D53,Variacion_vs_Libre!D72,Variacion_vs_Libre!D91,Variacion_vs_Libre!D110,Variacion_vs_Libre!D129,Variacion_vs_Libre!D148,Variacion_vs_Libre!D167,Variacion_vs_Libre!D186,Variacion_vs_Libre!D205))</f>
        <v>0</v>
      </c>
      <c r="F14" s="11">
        <f>AVERAGE(Variacion_vs_Libre!F15,Variacion_vs_Libre!F34,Variacion_vs_Libre!F53,Variacion_vs_Libre!F72,Variacion_vs_Libre!F91,Variacion_vs_Libre!F110,Variacion_vs_Libre!F129,Variacion_vs_Libre!F148,Variacion_vs_Libre!F167,Variacion_vs_Libre!F186,Variacion_vs_Libre!F205)</f>
        <v>0</v>
      </c>
      <c r="G14" s="11">
        <f>STDEV(Variacion_vs_Libre!F15,Variacion_vs_Libre!F34,Variacion_vs_Libre!F53,Variacion_vs_Libre!F72,Variacion_vs_Libre!F91,Variacion_vs_Libre!F110,Variacion_vs_Libre!F129,Variacion_vs_Libre!F148,Variacion_vs_Libre!F167,Variacion_vs_Libre!F186,Variacion_vs_Libre!F205)</f>
        <v>0</v>
      </c>
      <c r="H14" s="11">
        <f>MAX(Variacion_vs_Libre!F15,Variacion_vs_Libre!F34,Variacion_vs_Libre!F53,Variacion_vs_Libre!F72,Variacion_vs_Libre!F91,Variacion_vs_Libre!F110,Variacion_vs_Libre!F129,Variacion_vs_Libre!F148,Variacion_vs_Libre!F167,Variacion_vs_Libre!F186,Variacion_vs_Libre!F205)-MIN(Variacion_vs_Libre!F15,Variacion_vs_Libre!F34,Variacion_vs_Libre!F53,Variacion_vs_Libre!F72,Variacion_vs_Libre!F91,Variacion_vs_Libre!F110,Variacion_vs_Libre!F129,Variacion_vs_Libre!F148,Variacion_vs_Libre!F167,Variacion_vs_Libre!F186,Variacion_vs_Libre!F205)</f>
        <v>0</v>
      </c>
      <c r="I14" s="11">
        <f>MAX(MAX(Variacion_vs_Libre!F15,Variacion_vs_Libre!F34,Variacion_vs_Libre!F53,Variacion_vs_Libre!F72,Variacion_vs_Libre!F91,Variacion_vs_Libre!F110,Variacion_vs_Libre!F129,Variacion_vs_Libre!F148,Variacion_vs_Libre!F167,Variacion_vs_Libre!F186,Variacion_vs_Libre!F205),-MIN(Variacion_vs_Libre!F15,Variacion_vs_Libre!F34,Variacion_vs_Libre!F53,Variacion_vs_Libre!F72,Variacion_vs_Libre!F91,Variacion_vs_Libre!F110,Variacion_vs_Libre!F129,Variacion_vs_Libre!F148,Variacion_vs_Libre!F167,Variacion_vs_Libre!F186,Variacion_vs_Libre!F205))</f>
        <v>0</v>
      </c>
      <c r="J14" s="11">
        <f>AVERAGE(Variacion_vs_Libre!H15,Variacion_vs_Libre!H34,Variacion_vs_Libre!H53,Variacion_vs_Libre!H72,Variacion_vs_Libre!H91,Variacion_vs_Libre!H110,Variacion_vs_Libre!H129,Variacion_vs_Libre!H148,Variacion_vs_Libre!H167,Variacion_vs_Libre!H186,Variacion_vs_Libre!H205)</f>
        <v>1.1417800518181049E-2</v>
      </c>
      <c r="K14" s="11">
        <f>STDEV(Variacion_vs_Libre!H15,Variacion_vs_Libre!H34,Variacion_vs_Libre!H53,Variacion_vs_Libre!H72,Variacion_vs_Libre!H91,Variacion_vs_Libre!H110,Variacion_vs_Libre!H129,Variacion_vs_Libre!H148,Variacion_vs_Libre!H167,Variacion_vs_Libre!H186,Variacion_vs_Libre!H205)</f>
        <v>1.7878682363305656E-2</v>
      </c>
      <c r="L14" s="11">
        <f>MAX(Variacion_vs_Libre!H15,Variacion_vs_Libre!H34,Variacion_vs_Libre!H53,Variacion_vs_Libre!H72,Variacion_vs_Libre!H91,Variacion_vs_Libre!H110,Variacion_vs_Libre!H129,Variacion_vs_Libre!H148,Variacion_vs_Libre!H167,Variacion_vs_Libre!H186,Variacion_vs_Libre!H205)-MIN(Variacion_vs_Libre!H15,Variacion_vs_Libre!H34,Variacion_vs_Libre!H53,Variacion_vs_Libre!H72,Variacion_vs_Libre!H91,Variacion_vs_Libre!H110,Variacion_vs_Libre!H129,Variacion_vs_Libre!H148,Variacion_vs_Libre!H167,Variacion_vs_Libre!H186,Variacion_vs_Libre!H205)</f>
        <v>5.2378843210290557E-2</v>
      </c>
      <c r="M14" s="11">
        <f>MAX(MAX(Variacion_vs_Libre!H15,Variacion_vs_Libre!H34,Variacion_vs_Libre!H53,Variacion_vs_Libre!H72,Variacion_vs_Libre!H91,Variacion_vs_Libre!H110,Variacion_vs_Libre!H129,Variacion_vs_Libre!H148,Variacion_vs_Libre!H167,Variacion_vs_Libre!H186,Variacion_vs_Libre!H205),-MIN(Variacion_vs_Libre!H15,Variacion_vs_Libre!H34,Variacion_vs_Libre!H53,Variacion_vs_Libre!H72,Variacion_vs_Libre!H91,Variacion_vs_Libre!H110,Variacion_vs_Libre!H129,Variacion_vs_Libre!H148,Variacion_vs_Libre!H167,Variacion_vs_Libre!H186,Variacion_vs_Libre!H205))</f>
        <v>5.2376937770129223E-2</v>
      </c>
      <c r="N14" s="11">
        <f>AVERAGE(Variacion_vs_Libre!L15,Variacion_vs_Libre!L34,Variacion_vs_Libre!L53,Variacion_vs_Libre!L72,Variacion_vs_Libre!L91,Variacion_vs_Libre!L110,Variacion_vs_Libre!L129,Variacion_vs_Libre!L148,Variacion_vs_Libre!L167,Variacion_vs_Libre!L186,Variacion_vs_Libre!L205)</f>
        <v>-0.18869073361550906</v>
      </c>
      <c r="O14" s="11">
        <f>STDEV(Variacion_vs_Libre!L15,Variacion_vs_Libre!L34,Variacion_vs_Libre!L53,Variacion_vs_Libre!L72,Variacion_vs_Libre!L91,Variacion_vs_Libre!L110,Variacion_vs_Libre!L129,Variacion_vs_Libre!L148,Variacion_vs_Libre!L167,Variacion_vs_Libre!L186,Variacion_vs_Libre!L205)</f>
        <v>0.1461447587492358</v>
      </c>
      <c r="P14" s="11">
        <f>MAX(Variacion_vs_Libre!L15,Variacion_vs_Libre!L34,Variacion_vs_Libre!L53,Variacion_vs_Libre!L72,Variacion_vs_Libre!L91,Variacion_vs_Libre!L110,Variacion_vs_Libre!L129,Variacion_vs_Libre!L148,Variacion_vs_Libre!L167,Variacion_vs_Libre!L186,Variacion_vs_Libre!L205)-MIN(Variacion_vs_Libre!L15,Variacion_vs_Libre!L34,Variacion_vs_Libre!L53,Variacion_vs_Libre!L72,Variacion_vs_Libre!L91,Variacion_vs_Libre!L110,Variacion_vs_Libre!L129,Variacion_vs_Libre!L148,Variacion_vs_Libre!L167,Variacion_vs_Libre!L186,Variacion_vs_Libre!L205)</f>
        <v>0.42364284707941369</v>
      </c>
      <c r="Q14" s="11">
        <f>MAX(MAX(Variacion_vs_Libre!L15,Variacion_vs_Libre!L34,Variacion_vs_Libre!L53,Variacion_vs_Libre!L72,Variacion_vs_Libre!L91,Variacion_vs_Libre!L110,Variacion_vs_Libre!L129,Variacion_vs_Libre!L148,Variacion_vs_Libre!L167,Variacion_vs_Libre!L186,Variacion_vs_Libre!L205),-MIN(Variacion_vs_Libre!L15,Variacion_vs_Libre!L34,Variacion_vs_Libre!L53,Variacion_vs_Libre!L72,Variacion_vs_Libre!L91,Variacion_vs_Libre!L110,Variacion_vs_Libre!L129,Variacion_vs_Libre!L148,Variacion_vs_Libre!L167,Variacion_vs_Libre!L186,Variacion_vs_Libre!L205))</f>
        <v>0.39562313239689295</v>
      </c>
    </row>
    <row r="15" spans="1:17" x14ac:dyDescent="0.3">
      <c r="A15" s="4" t="s">
        <v>41</v>
      </c>
      <c r="B15" s="11">
        <f>AVERAGE(Variacion_vs_Libre!D16,Variacion_vs_Libre!D35,Variacion_vs_Libre!D54,Variacion_vs_Libre!D73,Variacion_vs_Libre!D92,Variacion_vs_Libre!D111,Variacion_vs_Libre!D130,Variacion_vs_Libre!D149,Variacion_vs_Libre!D168,Variacion_vs_Libre!D187,Variacion_vs_Libre!D206)</f>
        <v>0</v>
      </c>
      <c r="C15" s="11">
        <f>STDEV(Variacion_vs_Libre!D16,Variacion_vs_Libre!D35,Variacion_vs_Libre!D54,Variacion_vs_Libre!D73,Variacion_vs_Libre!D92,Variacion_vs_Libre!D111,Variacion_vs_Libre!D130,Variacion_vs_Libre!D149,Variacion_vs_Libre!D168,Variacion_vs_Libre!D187,Variacion_vs_Libre!D206)</f>
        <v>0</v>
      </c>
      <c r="D15" s="11">
        <f>MAX(Variacion_vs_Libre!D16,Variacion_vs_Libre!D35,Variacion_vs_Libre!D54,Variacion_vs_Libre!D73,Variacion_vs_Libre!D92,Variacion_vs_Libre!D111,Variacion_vs_Libre!D130,Variacion_vs_Libre!D149,Variacion_vs_Libre!D168,Variacion_vs_Libre!D187,Variacion_vs_Libre!D206)-MIN(Variacion_vs_Libre!D16,Variacion_vs_Libre!D35,Variacion_vs_Libre!D54,Variacion_vs_Libre!D73,Variacion_vs_Libre!D92,Variacion_vs_Libre!D111,Variacion_vs_Libre!D130,Variacion_vs_Libre!D149,Variacion_vs_Libre!D168,Variacion_vs_Libre!D187,Variacion_vs_Libre!D206)</f>
        <v>0</v>
      </c>
      <c r="E15" s="11">
        <f>MAX(MAX(Variacion_vs_Libre!D16,Variacion_vs_Libre!D35,Variacion_vs_Libre!D54,Variacion_vs_Libre!D73,Variacion_vs_Libre!D92,Variacion_vs_Libre!D111,Variacion_vs_Libre!D130,Variacion_vs_Libre!D149,Variacion_vs_Libre!D168,Variacion_vs_Libre!D187,Variacion_vs_Libre!D206),-MIN(Variacion_vs_Libre!D16,Variacion_vs_Libre!D35,Variacion_vs_Libre!D54,Variacion_vs_Libre!D73,Variacion_vs_Libre!D92,Variacion_vs_Libre!D111,Variacion_vs_Libre!D130,Variacion_vs_Libre!D149,Variacion_vs_Libre!D168,Variacion_vs_Libre!D187,Variacion_vs_Libre!D206))</f>
        <v>0</v>
      </c>
      <c r="F15" s="11">
        <f>AVERAGE(Variacion_vs_Libre!F16,Variacion_vs_Libre!F35,Variacion_vs_Libre!F54,Variacion_vs_Libre!F73,Variacion_vs_Libre!F92,Variacion_vs_Libre!F111,Variacion_vs_Libre!F130,Variacion_vs_Libre!F149,Variacion_vs_Libre!F168,Variacion_vs_Libre!F187,Variacion_vs_Libre!F206)</f>
        <v>0</v>
      </c>
      <c r="G15" s="11">
        <f>STDEV(Variacion_vs_Libre!F16,Variacion_vs_Libre!F35,Variacion_vs_Libre!F54,Variacion_vs_Libre!F73,Variacion_vs_Libre!F92,Variacion_vs_Libre!F111,Variacion_vs_Libre!F130,Variacion_vs_Libre!F149,Variacion_vs_Libre!F168,Variacion_vs_Libre!F187,Variacion_vs_Libre!F206)</f>
        <v>0</v>
      </c>
      <c r="H15" s="11">
        <f>MAX(Variacion_vs_Libre!F16,Variacion_vs_Libre!F35,Variacion_vs_Libre!F54,Variacion_vs_Libre!F73,Variacion_vs_Libre!F92,Variacion_vs_Libre!F111,Variacion_vs_Libre!F130,Variacion_vs_Libre!F149,Variacion_vs_Libre!F168,Variacion_vs_Libre!F187,Variacion_vs_Libre!F206)-MIN(Variacion_vs_Libre!F16,Variacion_vs_Libre!F35,Variacion_vs_Libre!F54,Variacion_vs_Libre!F73,Variacion_vs_Libre!F92,Variacion_vs_Libre!F111,Variacion_vs_Libre!F130,Variacion_vs_Libre!F149,Variacion_vs_Libre!F168,Variacion_vs_Libre!F187,Variacion_vs_Libre!F206)</f>
        <v>0</v>
      </c>
      <c r="I15" s="11">
        <f>MAX(MAX(Variacion_vs_Libre!F16,Variacion_vs_Libre!F35,Variacion_vs_Libre!F54,Variacion_vs_Libre!F73,Variacion_vs_Libre!F92,Variacion_vs_Libre!F111,Variacion_vs_Libre!F130,Variacion_vs_Libre!F149,Variacion_vs_Libre!F168,Variacion_vs_Libre!F187,Variacion_vs_Libre!F206),-MIN(Variacion_vs_Libre!F16,Variacion_vs_Libre!F35,Variacion_vs_Libre!F54,Variacion_vs_Libre!F73,Variacion_vs_Libre!F92,Variacion_vs_Libre!F111,Variacion_vs_Libre!F130,Variacion_vs_Libre!F149,Variacion_vs_Libre!F168,Variacion_vs_Libre!F187,Variacion_vs_Libre!F206))</f>
        <v>0</v>
      </c>
      <c r="J15" s="11">
        <f>AVERAGE(Variacion_vs_Libre!H16,Variacion_vs_Libre!H35,Variacion_vs_Libre!H54,Variacion_vs_Libre!H73,Variacion_vs_Libre!H92,Variacion_vs_Libre!H111,Variacion_vs_Libre!H130,Variacion_vs_Libre!H149,Variacion_vs_Libre!H168,Variacion_vs_Libre!H187,Variacion_vs_Libre!H206)</f>
        <v>4.185308000010087E-3</v>
      </c>
      <c r="K15" s="11">
        <f>STDEV(Variacion_vs_Libre!H16,Variacion_vs_Libre!H35,Variacion_vs_Libre!H54,Variacion_vs_Libre!H73,Variacion_vs_Libre!H92,Variacion_vs_Libre!H111,Variacion_vs_Libre!H130,Variacion_vs_Libre!H149,Variacion_vs_Libre!H168,Variacion_vs_Libre!H187,Variacion_vs_Libre!H206)</f>
        <v>8.9034583870879966E-3</v>
      </c>
      <c r="L15" s="11">
        <f>MAX(Variacion_vs_Libre!H16,Variacion_vs_Libre!H35,Variacion_vs_Libre!H54,Variacion_vs_Libre!H73,Variacion_vs_Libre!H92,Variacion_vs_Libre!H111,Variacion_vs_Libre!H130,Variacion_vs_Libre!H149,Variacion_vs_Libre!H168,Variacion_vs_Libre!H187,Variacion_vs_Libre!H206)-MIN(Variacion_vs_Libre!H16,Variacion_vs_Libre!H35,Variacion_vs_Libre!H54,Variacion_vs_Libre!H73,Variacion_vs_Libre!H92,Variacion_vs_Libre!H111,Variacion_vs_Libre!H130,Variacion_vs_Libre!H149,Variacion_vs_Libre!H168,Variacion_vs_Libre!H187,Variacion_vs_Libre!H206)</f>
        <v>2.8270535796682209E-2</v>
      </c>
      <c r="M15" s="11">
        <f>MAX(MAX(Variacion_vs_Libre!H16,Variacion_vs_Libre!H35,Variacion_vs_Libre!H54,Variacion_vs_Libre!H73,Variacion_vs_Libre!H92,Variacion_vs_Libre!H111,Variacion_vs_Libre!H130,Variacion_vs_Libre!H149,Variacion_vs_Libre!H168,Variacion_vs_Libre!H187,Variacion_vs_Libre!H206),-MIN(Variacion_vs_Libre!H16,Variacion_vs_Libre!H35,Variacion_vs_Libre!H54,Variacion_vs_Libre!H73,Variacion_vs_Libre!H92,Variacion_vs_Libre!H111,Variacion_vs_Libre!H130,Variacion_vs_Libre!H149,Variacion_vs_Libre!H168,Variacion_vs_Libre!H187,Variacion_vs_Libre!H206))</f>
        <v>2.8270535796682209E-2</v>
      </c>
      <c r="N15" s="11">
        <f>AVERAGE(Variacion_vs_Libre!L16,Variacion_vs_Libre!L35,Variacion_vs_Libre!L54,Variacion_vs_Libre!L73,Variacion_vs_Libre!L92,Variacion_vs_Libre!L111,Variacion_vs_Libre!L130,Variacion_vs_Libre!L149,Variacion_vs_Libre!L168,Variacion_vs_Libre!L187,Variacion_vs_Libre!L206)</f>
        <v>-0.19590695647276116</v>
      </c>
      <c r="O15" s="11">
        <f>STDEV(Variacion_vs_Libre!L16,Variacion_vs_Libre!L35,Variacion_vs_Libre!L54,Variacion_vs_Libre!L73,Variacion_vs_Libre!L92,Variacion_vs_Libre!L111,Variacion_vs_Libre!L130,Variacion_vs_Libre!L149,Variacion_vs_Libre!L168,Variacion_vs_Libre!L187,Variacion_vs_Libre!L206)</f>
        <v>0.14194704161085406</v>
      </c>
      <c r="P15" s="11">
        <f>MAX(Variacion_vs_Libre!L16,Variacion_vs_Libre!L35,Variacion_vs_Libre!L54,Variacion_vs_Libre!L73,Variacion_vs_Libre!L92,Variacion_vs_Libre!L111,Variacion_vs_Libre!L130,Variacion_vs_Libre!L149,Variacion_vs_Libre!L168,Variacion_vs_Libre!L187,Variacion_vs_Libre!L206)-MIN(Variacion_vs_Libre!L16,Variacion_vs_Libre!L35,Variacion_vs_Libre!L54,Variacion_vs_Libre!L73,Variacion_vs_Libre!L92,Variacion_vs_Libre!L111,Variacion_vs_Libre!L130,Variacion_vs_Libre!L149,Variacion_vs_Libre!L168,Variacion_vs_Libre!L187,Variacion_vs_Libre!L206)</f>
        <v>0.4108852830679286</v>
      </c>
      <c r="Q15" s="11">
        <f>MAX(MAX(Variacion_vs_Libre!L16,Variacion_vs_Libre!L35,Variacion_vs_Libre!L54,Variacion_vs_Libre!L73,Variacion_vs_Libre!L92,Variacion_vs_Libre!L111,Variacion_vs_Libre!L130,Variacion_vs_Libre!L149,Variacion_vs_Libre!L168,Variacion_vs_Libre!L187,Variacion_vs_Libre!L206),-MIN(Variacion_vs_Libre!L16,Variacion_vs_Libre!L35,Variacion_vs_Libre!L54,Variacion_vs_Libre!L73,Variacion_vs_Libre!L92,Variacion_vs_Libre!L111,Variacion_vs_Libre!L130,Variacion_vs_Libre!L149,Variacion_vs_Libre!L168,Variacion_vs_Libre!L187,Variacion_vs_Libre!L206))</f>
        <v>0.39744651184333996</v>
      </c>
    </row>
    <row r="16" spans="1:17" x14ac:dyDescent="0.3">
      <c r="A16" s="4" t="s">
        <v>43</v>
      </c>
      <c r="B16" s="11">
        <f>AVERAGE(Variacion_vs_Libre!D17,Variacion_vs_Libre!D36,Variacion_vs_Libre!D55,Variacion_vs_Libre!D74,Variacion_vs_Libre!D93,Variacion_vs_Libre!D112,Variacion_vs_Libre!D131,Variacion_vs_Libre!D150,Variacion_vs_Libre!D169,Variacion_vs_Libre!D188,Variacion_vs_Libre!D207)</f>
        <v>0</v>
      </c>
      <c r="C16" s="11">
        <f>STDEV(Variacion_vs_Libre!D17,Variacion_vs_Libre!D36,Variacion_vs_Libre!D55,Variacion_vs_Libre!D74,Variacion_vs_Libre!D93,Variacion_vs_Libre!D112,Variacion_vs_Libre!D131,Variacion_vs_Libre!D150,Variacion_vs_Libre!D169,Variacion_vs_Libre!D188,Variacion_vs_Libre!D207)</f>
        <v>0</v>
      </c>
      <c r="D16" s="11">
        <f>MAX(Variacion_vs_Libre!D17,Variacion_vs_Libre!D36,Variacion_vs_Libre!D55,Variacion_vs_Libre!D74,Variacion_vs_Libre!D93,Variacion_vs_Libre!D112,Variacion_vs_Libre!D131,Variacion_vs_Libre!D150,Variacion_vs_Libre!D169,Variacion_vs_Libre!D188,Variacion_vs_Libre!D207)-MIN(Variacion_vs_Libre!D17,Variacion_vs_Libre!D36,Variacion_vs_Libre!D55,Variacion_vs_Libre!D74,Variacion_vs_Libre!D93,Variacion_vs_Libre!D112,Variacion_vs_Libre!D131,Variacion_vs_Libre!D150,Variacion_vs_Libre!D169,Variacion_vs_Libre!D188,Variacion_vs_Libre!D207)</f>
        <v>0</v>
      </c>
      <c r="E16" s="11">
        <f>MAX(MAX(Variacion_vs_Libre!D17,Variacion_vs_Libre!D36,Variacion_vs_Libre!D55,Variacion_vs_Libre!D74,Variacion_vs_Libre!D93,Variacion_vs_Libre!D112,Variacion_vs_Libre!D131,Variacion_vs_Libre!D150,Variacion_vs_Libre!D169,Variacion_vs_Libre!D188,Variacion_vs_Libre!D207),-MIN(Variacion_vs_Libre!D17,Variacion_vs_Libre!D36,Variacion_vs_Libre!D55,Variacion_vs_Libre!D74,Variacion_vs_Libre!D93,Variacion_vs_Libre!D112,Variacion_vs_Libre!D131,Variacion_vs_Libre!D150,Variacion_vs_Libre!D169,Variacion_vs_Libre!D188,Variacion_vs_Libre!D207))</f>
        <v>0</v>
      </c>
      <c r="F16" s="11">
        <f>AVERAGE(Variacion_vs_Libre!F17,Variacion_vs_Libre!F36,Variacion_vs_Libre!F55,Variacion_vs_Libre!F74,Variacion_vs_Libre!F93,Variacion_vs_Libre!F112,Variacion_vs_Libre!F131,Variacion_vs_Libre!F150,Variacion_vs_Libre!F169,Variacion_vs_Libre!F188,Variacion_vs_Libre!F207)</f>
        <v>0</v>
      </c>
      <c r="G16" s="11">
        <f>STDEV(Variacion_vs_Libre!F17,Variacion_vs_Libre!F36,Variacion_vs_Libre!F55,Variacion_vs_Libre!F74,Variacion_vs_Libre!F93,Variacion_vs_Libre!F112,Variacion_vs_Libre!F131,Variacion_vs_Libre!F150,Variacion_vs_Libre!F169,Variacion_vs_Libre!F188,Variacion_vs_Libre!F207)</f>
        <v>0</v>
      </c>
      <c r="H16" s="11">
        <f>MAX(Variacion_vs_Libre!F17,Variacion_vs_Libre!F36,Variacion_vs_Libre!F55,Variacion_vs_Libre!F74,Variacion_vs_Libre!F93,Variacion_vs_Libre!F112,Variacion_vs_Libre!F131,Variacion_vs_Libre!F150,Variacion_vs_Libre!F169,Variacion_vs_Libre!F188,Variacion_vs_Libre!F207)-MIN(Variacion_vs_Libre!F17,Variacion_vs_Libre!F36,Variacion_vs_Libre!F55,Variacion_vs_Libre!F74,Variacion_vs_Libre!F93,Variacion_vs_Libre!F112,Variacion_vs_Libre!F131,Variacion_vs_Libre!F150,Variacion_vs_Libre!F169,Variacion_vs_Libre!F188,Variacion_vs_Libre!F207)</f>
        <v>0</v>
      </c>
      <c r="I16" s="11">
        <f>MAX(MAX(Variacion_vs_Libre!F17,Variacion_vs_Libre!F36,Variacion_vs_Libre!F55,Variacion_vs_Libre!F74,Variacion_vs_Libre!F93,Variacion_vs_Libre!F112,Variacion_vs_Libre!F131,Variacion_vs_Libre!F150,Variacion_vs_Libre!F169,Variacion_vs_Libre!F188,Variacion_vs_Libre!F207),-MIN(Variacion_vs_Libre!F17,Variacion_vs_Libre!F36,Variacion_vs_Libre!F55,Variacion_vs_Libre!F74,Variacion_vs_Libre!F93,Variacion_vs_Libre!F112,Variacion_vs_Libre!F131,Variacion_vs_Libre!F150,Variacion_vs_Libre!F169,Variacion_vs_Libre!F188,Variacion_vs_Libre!F207))</f>
        <v>0</v>
      </c>
      <c r="J16" s="11">
        <f>AVERAGE(Variacion_vs_Libre!H17,Variacion_vs_Libre!H36,Variacion_vs_Libre!H55,Variacion_vs_Libre!H74,Variacion_vs_Libre!H93,Variacion_vs_Libre!H112,Variacion_vs_Libre!H131,Variacion_vs_Libre!H150,Variacion_vs_Libre!H169,Variacion_vs_Libre!H188,Variacion_vs_Libre!H207)</f>
        <v>1.9929088477323606E-4</v>
      </c>
      <c r="K16" s="11">
        <f>STDEV(Variacion_vs_Libre!H17,Variacion_vs_Libre!H36,Variacion_vs_Libre!H55,Variacion_vs_Libre!H74,Variacion_vs_Libre!H93,Variacion_vs_Libre!H112,Variacion_vs_Libre!H131,Variacion_vs_Libre!H150,Variacion_vs_Libre!H169,Variacion_vs_Libre!H188,Variacion_vs_Libre!H207)</f>
        <v>6.6097308893077618E-4</v>
      </c>
      <c r="L16" s="11">
        <f>MAX(Variacion_vs_Libre!H17,Variacion_vs_Libre!H36,Variacion_vs_Libre!H55,Variacion_vs_Libre!H74,Variacion_vs_Libre!H93,Variacion_vs_Libre!H112,Variacion_vs_Libre!H131,Variacion_vs_Libre!H150,Variacion_vs_Libre!H169,Variacion_vs_Libre!H188,Variacion_vs_Libre!H207)-MIN(Variacion_vs_Libre!H17,Variacion_vs_Libre!H36,Variacion_vs_Libre!H55,Variacion_vs_Libre!H74,Variacion_vs_Libre!H93,Variacion_vs_Libre!H112,Variacion_vs_Libre!H131,Variacion_vs_Libre!H150,Variacion_vs_Libre!H169,Variacion_vs_Libre!H188,Variacion_vs_Libre!H207)</f>
        <v>2.1921997325055967E-3</v>
      </c>
      <c r="M16" s="11">
        <f>MAX(MAX(Variacion_vs_Libre!H17,Variacion_vs_Libre!H36,Variacion_vs_Libre!H55,Variacion_vs_Libre!H74,Variacion_vs_Libre!H93,Variacion_vs_Libre!H112,Variacion_vs_Libre!H131,Variacion_vs_Libre!H150,Variacion_vs_Libre!H169,Variacion_vs_Libre!H188,Variacion_vs_Libre!H207),-MIN(Variacion_vs_Libre!H17,Variacion_vs_Libre!H36,Variacion_vs_Libre!H55,Variacion_vs_Libre!H74,Variacion_vs_Libre!H93,Variacion_vs_Libre!H112,Variacion_vs_Libre!H131,Variacion_vs_Libre!H150,Variacion_vs_Libre!H169,Variacion_vs_Libre!H188,Variacion_vs_Libre!H207))</f>
        <v>2.1921997325055967E-3</v>
      </c>
      <c r="N16" s="11">
        <f>AVERAGE(Variacion_vs_Libre!L17,Variacion_vs_Libre!L36,Variacion_vs_Libre!L55,Variacion_vs_Libre!L74,Variacion_vs_Libre!L93,Variacion_vs_Libre!L112,Variacion_vs_Libre!L131,Variacion_vs_Libre!L150,Variacion_vs_Libre!L169,Variacion_vs_Libre!L188,Variacion_vs_Libre!L207)</f>
        <v>-0.20155974308266139</v>
      </c>
      <c r="O16" s="11">
        <f>STDEV(Variacion_vs_Libre!L17,Variacion_vs_Libre!L36,Variacion_vs_Libre!L55,Variacion_vs_Libre!L74,Variacion_vs_Libre!L93,Variacion_vs_Libre!L112,Variacion_vs_Libre!L131,Variacion_vs_Libre!L150,Variacion_vs_Libre!L169,Variacion_vs_Libre!L188,Variacion_vs_Libre!L207)</f>
        <v>0.1380527654726072</v>
      </c>
      <c r="P16" s="11">
        <f>MAX(Variacion_vs_Libre!L17,Variacion_vs_Libre!L36,Variacion_vs_Libre!L55,Variacion_vs_Libre!L74,Variacion_vs_Libre!L93,Variacion_vs_Libre!L112,Variacion_vs_Libre!L131,Variacion_vs_Libre!L150,Variacion_vs_Libre!L169,Variacion_vs_Libre!L188,Variacion_vs_Libre!L207)-MIN(Variacion_vs_Libre!L17,Variacion_vs_Libre!L36,Variacion_vs_Libre!L55,Variacion_vs_Libre!L74,Variacion_vs_Libre!L93,Variacion_vs_Libre!L112,Variacion_vs_Libre!L131,Variacion_vs_Libre!L150,Variacion_vs_Libre!L169,Variacion_vs_Libre!L188,Variacion_vs_Libre!L207)</f>
        <v>0.39896199371480623</v>
      </c>
      <c r="Q16" s="11">
        <f>MAX(MAX(Variacion_vs_Libre!L17,Variacion_vs_Libre!L36,Variacion_vs_Libre!L55,Variacion_vs_Libre!L74,Variacion_vs_Libre!L93,Variacion_vs_Libre!L112,Variacion_vs_Libre!L131,Variacion_vs_Libre!L150,Variacion_vs_Libre!L169,Variacion_vs_Libre!L188,Variacion_vs_Libre!L207),-MIN(Variacion_vs_Libre!L17,Variacion_vs_Libre!L36,Variacion_vs_Libre!L55,Variacion_vs_Libre!L74,Variacion_vs_Libre!L93,Variacion_vs_Libre!L112,Variacion_vs_Libre!L131,Variacion_vs_Libre!L150,Variacion_vs_Libre!L169,Variacion_vs_Libre!L188,Variacion_vs_Libre!L207))</f>
        <v>0.39809724373504835</v>
      </c>
    </row>
    <row r="17" spans="1:17" x14ac:dyDescent="0.3">
      <c r="A17" s="4" t="s">
        <v>45</v>
      </c>
      <c r="B17" s="11">
        <f>AVERAGE(Variacion_vs_Libre!D18,Variacion_vs_Libre!D37,Variacion_vs_Libre!D56,Variacion_vs_Libre!D75,Variacion_vs_Libre!D94,Variacion_vs_Libre!D113,Variacion_vs_Libre!D132,Variacion_vs_Libre!D151,Variacion_vs_Libre!D170,Variacion_vs_Libre!D189,Variacion_vs_Libre!D208)</f>
        <v>0</v>
      </c>
      <c r="C17" s="11">
        <f>STDEV(Variacion_vs_Libre!D18,Variacion_vs_Libre!D37,Variacion_vs_Libre!D56,Variacion_vs_Libre!D75,Variacion_vs_Libre!D94,Variacion_vs_Libre!D113,Variacion_vs_Libre!D132,Variacion_vs_Libre!D151,Variacion_vs_Libre!D170,Variacion_vs_Libre!D189,Variacion_vs_Libre!D208)</f>
        <v>0</v>
      </c>
      <c r="D17" s="11">
        <f>MAX(Variacion_vs_Libre!D18,Variacion_vs_Libre!D37,Variacion_vs_Libre!D56,Variacion_vs_Libre!D75,Variacion_vs_Libre!D94,Variacion_vs_Libre!D113,Variacion_vs_Libre!D132,Variacion_vs_Libre!D151,Variacion_vs_Libre!D170,Variacion_vs_Libre!D189,Variacion_vs_Libre!D208)-MIN(Variacion_vs_Libre!D18,Variacion_vs_Libre!D37,Variacion_vs_Libre!D56,Variacion_vs_Libre!D75,Variacion_vs_Libre!D94,Variacion_vs_Libre!D113,Variacion_vs_Libre!D132,Variacion_vs_Libre!D151,Variacion_vs_Libre!D170,Variacion_vs_Libre!D189,Variacion_vs_Libre!D208)</f>
        <v>0</v>
      </c>
      <c r="E17" s="11">
        <f>MAX(MAX(Variacion_vs_Libre!D18,Variacion_vs_Libre!D37,Variacion_vs_Libre!D56,Variacion_vs_Libre!D75,Variacion_vs_Libre!D94,Variacion_vs_Libre!D113,Variacion_vs_Libre!D132,Variacion_vs_Libre!D151,Variacion_vs_Libre!D170,Variacion_vs_Libre!D189,Variacion_vs_Libre!D208),-MIN(Variacion_vs_Libre!D18,Variacion_vs_Libre!D37,Variacion_vs_Libre!D56,Variacion_vs_Libre!D75,Variacion_vs_Libre!D94,Variacion_vs_Libre!D113,Variacion_vs_Libre!D132,Variacion_vs_Libre!D151,Variacion_vs_Libre!D170,Variacion_vs_Libre!D189,Variacion_vs_Libre!D208))</f>
        <v>0</v>
      </c>
      <c r="F17" s="11">
        <f>AVERAGE(Variacion_vs_Libre!F18,Variacion_vs_Libre!F37,Variacion_vs_Libre!F56,Variacion_vs_Libre!F75,Variacion_vs_Libre!F94,Variacion_vs_Libre!F113,Variacion_vs_Libre!F132,Variacion_vs_Libre!F151,Variacion_vs_Libre!F170,Variacion_vs_Libre!F189,Variacion_vs_Libre!F208)</f>
        <v>0</v>
      </c>
      <c r="G17" s="11">
        <f>STDEV(Variacion_vs_Libre!F18,Variacion_vs_Libre!F37,Variacion_vs_Libre!F56,Variacion_vs_Libre!F75,Variacion_vs_Libre!F94,Variacion_vs_Libre!F113,Variacion_vs_Libre!F132,Variacion_vs_Libre!F151,Variacion_vs_Libre!F170,Variacion_vs_Libre!F189,Variacion_vs_Libre!F208)</f>
        <v>0</v>
      </c>
      <c r="H17" s="11">
        <f>MAX(Variacion_vs_Libre!F18,Variacion_vs_Libre!F37,Variacion_vs_Libre!F56,Variacion_vs_Libre!F75,Variacion_vs_Libre!F94,Variacion_vs_Libre!F113,Variacion_vs_Libre!F132,Variacion_vs_Libre!F151,Variacion_vs_Libre!F170,Variacion_vs_Libre!F189,Variacion_vs_Libre!F208)-MIN(Variacion_vs_Libre!F18,Variacion_vs_Libre!F37,Variacion_vs_Libre!F56,Variacion_vs_Libre!F75,Variacion_vs_Libre!F94,Variacion_vs_Libre!F113,Variacion_vs_Libre!F132,Variacion_vs_Libre!F151,Variacion_vs_Libre!F170,Variacion_vs_Libre!F189,Variacion_vs_Libre!F208)</f>
        <v>0</v>
      </c>
      <c r="I17" s="11">
        <f>MAX(MAX(Variacion_vs_Libre!F18,Variacion_vs_Libre!F37,Variacion_vs_Libre!F56,Variacion_vs_Libre!F75,Variacion_vs_Libre!F94,Variacion_vs_Libre!F113,Variacion_vs_Libre!F132,Variacion_vs_Libre!F151,Variacion_vs_Libre!F170,Variacion_vs_Libre!F189,Variacion_vs_Libre!F208),-MIN(Variacion_vs_Libre!F18,Variacion_vs_Libre!F37,Variacion_vs_Libre!F56,Variacion_vs_Libre!F75,Variacion_vs_Libre!F94,Variacion_vs_Libre!F113,Variacion_vs_Libre!F132,Variacion_vs_Libre!F151,Variacion_vs_Libre!F170,Variacion_vs_Libre!F189,Variacion_vs_Libre!F208))</f>
        <v>0</v>
      </c>
      <c r="J17" s="11">
        <f>AVERAGE(Variacion_vs_Libre!H18,Variacion_vs_Libre!H37,Variacion_vs_Libre!H56,Variacion_vs_Libre!H75,Variacion_vs_Libre!H94,Variacion_vs_Libre!H113,Variacion_vs_Libre!H132,Variacion_vs_Libre!H151,Variacion_vs_Libre!H170,Variacion_vs_Libre!H189,Variacion_vs_Libre!H208)</f>
        <v>0</v>
      </c>
      <c r="K17" s="11">
        <f>STDEV(Variacion_vs_Libre!H18,Variacion_vs_Libre!H37,Variacion_vs_Libre!H56,Variacion_vs_Libre!H75,Variacion_vs_Libre!H94,Variacion_vs_Libre!H113,Variacion_vs_Libre!H132,Variacion_vs_Libre!H151,Variacion_vs_Libre!H170,Variacion_vs_Libre!H189,Variacion_vs_Libre!H208)</f>
        <v>0</v>
      </c>
      <c r="L17" s="11">
        <f>MAX(Variacion_vs_Libre!H18,Variacion_vs_Libre!H37,Variacion_vs_Libre!H56,Variacion_vs_Libre!H75,Variacion_vs_Libre!H94,Variacion_vs_Libre!H113,Variacion_vs_Libre!H132,Variacion_vs_Libre!H151,Variacion_vs_Libre!H170,Variacion_vs_Libre!H189,Variacion_vs_Libre!H208)-MIN(Variacion_vs_Libre!H18,Variacion_vs_Libre!H37,Variacion_vs_Libre!H56,Variacion_vs_Libre!H75,Variacion_vs_Libre!H94,Variacion_vs_Libre!H113,Variacion_vs_Libre!H132,Variacion_vs_Libre!H151,Variacion_vs_Libre!H170,Variacion_vs_Libre!H189,Variacion_vs_Libre!H208)</f>
        <v>0</v>
      </c>
      <c r="M17" s="11">
        <f>MAX(MAX(Variacion_vs_Libre!H18,Variacion_vs_Libre!H37,Variacion_vs_Libre!H56,Variacion_vs_Libre!H75,Variacion_vs_Libre!H94,Variacion_vs_Libre!H113,Variacion_vs_Libre!H132,Variacion_vs_Libre!H151,Variacion_vs_Libre!H170,Variacion_vs_Libre!H189,Variacion_vs_Libre!H208),-MIN(Variacion_vs_Libre!H18,Variacion_vs_Libre!H37,Variacion_vs_Libre!H56,Variacion_vs_Libre!H75,Variacion_vs_Libre!H94,Variacion_vs_Libre!H113,Variacion_vs_Libre!H132,Variacion_vs_Libre!H151,Variacion_vs_Libre!H170,Variacion_vs_Libre!H189,Variacion_vs_Libre!H208))</f>
        <v>0</v>
      </c>
      <c r="N17" s="11">
        <f>AVERAGE(Variacion_vs_Libre!L18,Variacion_vs_Libre!L37,Variacion_vs_Libre!L56,Variacion_vs_Libre!L75,Variacion_vs_Libre!L94,Variacion_vs_Libre!L113,Variacion_vs_Libre!L132,Variacion_vs_Libre!L151,Variacion_vs_Libre!L170,Variacion_vs_Libre!L189,Variacion_vs_Libre!L208)</f>
        <v>-0.20784335249125607</v>
      </c>
      <c r="O17" s="11">
        <f>STDEV(Variacion_vs_Libre!L18,Variacion_vs_Libre!L37,Variacion_vs_Libre!L56,Variacion_vs_Libre!L75,Variacion_vs_Libre!L94,Variacion_vs_Libre!L113,Variacion_vs_Libre!L132,Variacion_vs_Libre!L151,Variacion_vs_Libre!L170,Variacion_vs_Libre!L189,Variacion_vs_Libre!L208)</f>
        <v>0.13082533165931123</v>
      </c>
      <c r="P17" s="11">
        <f>MAX(Variacion_vs_Libre!L18,Variacion_vs_Libre!L37,Variacion_vs_Libre!L56,Variacion_vs_Libre!L75,Variacion_vs_Libre!L94,Variacion_vs_Libre!L113,Variacion_vs_Libre!L132,Variacion_vs_Libre!L151,Variacion_vs_Libre!L170,Variacion_vs_Libre!L189,Variacion_vs_Libre!L208)-MIN(Variacion_vs_Libre!L18,Variacion_vs_Libre!L37,Variacion_vs_Libre!L56,Variacion_vs_Libre!L75,Variacion_vs_Libre!L94,Variacion_vs_Libre!L113,Variacion_vs_Libre!L132,Variacion_vs_Libre!L151,Variacion_vs_Libre!L170,Variacion_vs_Libre!L189,Variacion_vs_Libre!L208)</f>
        <v>0.37657669922000875</v>
      </c>
      <c r="Q17" s="11">
        <f>MAX(MAX(Variacion_vs_Libre!L18,Variacion_vs_Libre!L37,Variacion_vs_Libre!L56,Variacion_vs_Libre!L75,Variacion_vs_Libre!L94,Variacion_vs_Libre!L113,Variacion_vs_Libre!L132,Variacion_vs_Libre!L151,Variacion_vs_Libre!L170,Variacion_vs_Libre!L189,Variacion_vs_Libre!L208),-MIN(Variacion_vs_Libre!L18,Variacion_vs_Libre!L37,Variacion_vs_Libre!L56,Variacion_vs_Libre!L75,Variacion_vs_Libre!L94,Variacion_vs_Libre!L113,Variacion_vs_Libre!L132,Variacion_vs_Libre!L151,Variacion_vs_Libre!L170,Variacion_vs_Libre!L189,Variacion_vs_Libre!L208))</f>
        <v>0.39506324327812559</v>
      </c>
    </row>
    <row r="18" spans="1:17" x14ac:dyDescent="0.3">
      <c r="A18" s="4" t="s">
        <v>47</v>
      </c>
      <c r="B18" s="11">
        <f>AVERAGE(Variacion_vs_Libre!D19,Variacion_vs_Libre!D38,Variacion_vs_Libre!D57,Variacion_vs_Libre!D76,Variacion_vs_Libre!D95,Variacion_vs_Libre!D114,Variacion_vs_Libre!D133,Variacion_vs_Libre!D152,Variacion_vs_Libre!D171,Variacion_vs_Libre!D190,Variacion_vs_Libre!D209)</f>
        <v>0</v>
      </c>
      <c r="C18" s="11">
        <f>STDEV(Variacion_vs_Libre!D19,Variacion_vs_Libre!D38,Variacion_vs_Libre!D57,Variacion_vs_Libre!D76,Variacion_vs_Libre!D95,Variacion_vs_Libre!D114,Variacion_vs_Libre!D133,Variacion_vs_Libre!D152,Variacion_vs_Libre!D171,Variacion_vs_Libre!D190,Variacion_vs_Libre!D209)</f>
        <v>0</v>
      </c>
      <c r="D18" s="11">
        <f>MAX(Variacion_vs_Libre!D19,Variacion_vs_Libre!D38,Variacion_vs_Libre!D57,Variacion_vs_Libre!D76,Variacion_vs_Libre!D95,Variacion_vs_Libre!D114,Variacion_vs_Libre!D133,Variacion_vs_Libre!D152,Variacion_vs_Libre!D171,Variacion_vs_Libre!D190,Variacion_vs_Libre!D209)-MIN(Variacion_vs_Libre!D19,Variacion_vs_Libre!D38,Variacion_vs_Libre!D57,Variacion_vs_Libre!D76,Variacion_vs_Libre!D95,Variacion_vs_Libre!D114,Variacion_vs_Libre!D133,Variacion_vs_Libre!D152,Variacion_vs_Libre!D171,Variacion_vs_Libre!D190,Variacion_vs_Libre!D209)</f>
        <v>0</v>
      </c>
      <c r="E18" s="11">
        <f>MAX(MAX(Variacion_vs_Libre!D19,Variacion_vs_Libre!D38,Variacion_vs_Libre!D57,Variacion_vs_Libre!D76,Variacion_vs_Libre!D95,Variacion_vs_Libre!D114,Variacion_vs_Libre!D133,Variacion_vs_Libre!D152,Variacion_vs_Libre!D171,Variacion_vs_Libre!D190,Variacion_vs_Libre!D209),-MIN(Variacion_vs_Libre!D19,Variacion_vs_Libre!D38,Variacion_vs_Libre!D57,Variacion_vs_Libre!D76,Variacion_vs_Libre!D95,Variacion_vs_Libre!D114,Variacion_vs_Libre!D133,Variacion_vs_Libre!D152,Variacion_vs_Libre!D171,Variacion_vs_Libre!D190,Variacion_vs_Libre!D209))</f>
        <v>0</v>
      </c>
      <c r="F18" s="11">
        <f>AVERAGE(Variacion_vs_Libre!F19,Variacion_vs_Libre!F38,Variacion_vs_Libre!F57,Variacion_vs_Libre!F76,Variacion_vs_Libre!F95,Variacion_vs_Libre!F114,Variacion_vs_Libre!F133,Variacion_vs_Libre!F152,Variacion_vs_Libre!F171,Variacion_vs_Libre!F190,Variacion_vs_Libre!F209)</f>
        <v>0</v>
      </c>
      <c r="G18" s="11">
        <f>STDEV(Variacion_vs_Libre!F19,Variacion_vs_Libre!F38,Variacion_vs_Libre!F57,Variacion_vs_Libre!F76,Variacion_vs_Libre!F95,Variacion_vs_Libre!F114,Variacion_vs_Libre!F133,Variacion_vs_Libre!F152,Variacion_vs_Libre!F171,Variacion_vs_Libre!F190,Variacion_vs_Libre!F209)</f>
        <v>0</v>
      </c>
      <c r="H18" s="11">
        <f>MAX(Variacion_vs_Libre!F19,Variacion_vs_Libre!F38,Variacion_vs_Libre!F57,Variacion_vs_Libre!F76,Variacion_vs_Libre!F95,Variacion_vs_Libre!F114,Variacion_vs_Libre!F133,Variacion_vs_Libre!F152,Variacion_vs_Libre!F171,Variacion_vs_Libre!F190,Variacion_vs_Libre!F209)-MIN(Variacion_vs_Libre!F19,Variacion_vs_Libre!F38,Variacion_vs_Libre!F57,Variacion_vs_Libre!F76,Variacion_vs_Libre!F95,Variacion_vs_Libre!F114,Variacion_vs_Libre!F133,Variacion_vs_Libre!F152,Variacion_vs_Libre!F171,Variacion_vs_Libre!F190,Variacion_vs_Libre!F209)</f>
        <v>0</v>
      </c>
      <c r="I18" s="11">
        <f>MAX(MAX(Variacion_vs_Libre!F19,Variacion_vs_Libre!F38,Variacion_vs_Libre!F57,Variacion_vs_Libre!F76,Variacion_vs_Libre!F95,Variacion_vs_Libre!F114,Variacion_vs_Libre!F133,Variacion_vs_Libre!F152,Variacion_vs_Libre!F171,Variacion_vs_Libre!F190,Variacion_vs_Libre!F209),-MIN(Variacion_vs_Libre!F19,Variacion_vs_Libre!F38,Variacion_vs_Libre!F57,Variacion_vs_Libre!F76,Variacion_vs_Libre!F95,Variacion_vs_Libre!F114,Variacion_vs_Libre!F133,Variacion_vs_Libre!F152,Variacion_vs_Libre!F171,Variacion_vs_Libre!F190,Variacion_vs_Libre!F209))</f>
        <v>0</v>
      </c>
      <c r="J18" s="11">
        <f>AVERAGE(Variacion_vs_Libre!H19,Variacion_vs_Libre!H38,Variacion_vs_Libre!H57,Variacion_vs_Libre!H76,Variacion_vs_Libre!H95,Variacion_vs_Libre!H114,Variacion_vs_Libre!H133,Variacion_vs_Libre!H152,Variacion_vs_Libre!H171,Variacion_vs_Libre!H190,Variacion_vs_Libre!H209)</f>
        <v>0</v>
      </c>
      <c r="K18" s="11">
        <f>STDEV(Variacion_vs_Libre!H19,Variacion_vs_Libre!H38,Variacion_vs_Libre!H57,Variacion_vs_Libre!H76,Variacion_vs_Libre!H95,Variacion_vs_Libre!H114,Variacion_vs_Libre!H133,Variacion_vs_Libre!H152,Variacion_vs_Libre!H171,Variacion_vs_Libre!H190,Variacion_vs_Libre!H209)</f>
        <v>0</v>
      </c>
      <c r="L18" s="11">
        <f>MAX(Variacion_vs_Libre!H19,Variacion_vs_Libre!H38,Variacion_vs_Libre!H57,Variacion_vs_Libre!H76,Variacion_vs_Libre!H95,Variacion_vs_Libre!H114,Variacion_vs_Libre!H133,Variacion_vs_Libre!H152,Variacion_vs_Libre!H171,Variacion_vs_Libre!H190,Variacion_vs_Libre!H209)-MIN(Variacion_vs_Libre!H19,Variacion_vs_Libre!H38,Variacion_vs_Libre!H57,Variacion_vs_Libre!H76,Variacion_vs_Libre!H95,Variacion_vs_Libre!H114,Variacion_vs_Libre!H133,Variacion_vs_Libre!H152,Variacion_vs_Libre!H171,Variacion_vs_Libre!H190,Variacion_vs_Libre!H209)</f>
        <v>0</v>
      </c>
      <c r="M18" s="11">
        <f>MAX(MAX(Variacion_vs_Libre!H19,Variacion_vs_Libre!H38,Variacion_vs_Libre!H57,Variacion_vs_Libre!H76,Variacion_vs_Libre!H95,Variacion_vs_Libre!H114,Variacion_vs_Libre!H133,Variacion_vs_Libre!H152,Variacion_vs_Libre!H171,Variacion_vs_Libre!H190,Variacion_vs_Libre!H209),-MIN(Variacion_vs_Libre!H19,Variacion_vs_Libre!H38,Variacion_vs_Libre!H57,Variacion_vs_Libre!H76,Variacion_vs_Libre!H95,Variacion_vs_Libre!H114,Variacion_vs_Libre!H133,Variacion_vs_Libre!H152,Variacion_vs_Libre!H171,Variacion_vs_Libre!H190,Variacion_vs_Libre!H209))</f>
        <v>0</v>
      </c>
      <c r="N18" s="11">
        <f>AVERAGE(Variacion_vs_Libre!L19,Variacion_vs_Libre!L38,Variacion_vs_Libre!L57,Variacion_vs_Libre!L76,Variacion_vs_Libre!L95,Variacion_vs_Libre!L114,Variacion_vs_Libre!L133,Variacion_vs_Libre!L152,Variacion_vs_Libre!L171,Variacion_vs_Libre!L190,Variacion_vs_Libre!L209)</f>
        <v>-0.20770400739705214</v>
      </c>
      <c r="O18" s="11">
        <f>STDEV(Variacion_vs_Libre!L19,Variacion_vs_Libre!L38,Variacion_vs_Libre!L57,Variacion_vs_Libre!L76,Variacion_vs_Libre!L95,Variacion_vs_Libre!L114,Variacion_vs_Libre!L133,Variacion_vs_Libre!L152,Variacion_vs_Libre!L171,Variacion_vs_Libre!L190,Variacion_vs_Libre!L209)</f>
        <v>0.12765041266945515</v>
      </c>
      <c r="P18" s="11">
        <f>MAX(Variacion_vs_Libre!L19,Variacion_vs_Libre!L38,Variacion_vs_Libre!L57,Variacion_vs_Libre!L76,Variacion_vs_Libre!L95,Variacion_vs_Libre!L114,Variacion_vs_Libre!L133,Variacion_vs_Libre!L152,Variacion_vs_Libre!L171,Variacion_vs_Libre!L190,Variacion_vs_Libre!L209)-MIN(Variacion_vs_Libre!L19,Variacion_vs_Libre!L38,Variacion_vs_Libre!L57,Variacion_vs_Libre!L76,Variacion_vs_Libre!L95,Variacion_vs_Libre!L114,Variacion_vs_Libre!L133,Variacion_vs_Libre!L152,Variacion_vs_Libre!L171,Variacion_vs_Libre!L190,Variacion_vs_Libre!L209)</f>
        <v>0.36659648332070527</v>
      </c>
      <c r="Q18" s="11">
        <f>MAX(MAX(Variacion_vs_Libre!L19,Variacion_vs_Libre!L38,Variacion_vs_Libre!L57,Variacion_vs_Libre!L76,Variacion_vs_Libre!L95,Variacion_vs_Libre!L114,Variacion_vs_Libre!L133,Variacion_vs_Libre!L152,Variacion_vs_Libre!L171,Variacion_vs_Libre!L190,Variacion_vs_Libre!L209),-MIN(Variacion_vs_Libre!L19,Variacion_vs_Libre!L38,Variacion_vs_Libre!L57,Variacion_vs_Libre!L76,Variacion_vs_Libre!L95,Variacion_vs_Libre!L114,Variacion_vs_Libre!L133,Variacion_vs_Libre!L152,Variacion_vs_Libre!L171,Variacion_vs_Libre!L190,Variacion_vs_Libre!L209))</f>
        <v>0.39069738820590555</v>
      </c>
    </row>
    <row r="19" spans="1:17" x14ac:dyDescent="0.3">
      <c r="A19" s="4" t="s">
        <v>49</v>
      </c>
      <c r="B19" s="11">
        <f>AVERAGE(Variacion_vs_Libre!D20,Variacion_vs_Libre!D39,Variacion_vs_Libre!D58,Variacion_vs_Libre!D77,Variacion_vs_Libre!D96,Variacion_vs_Libre!D115,Variacion_vs_Libre!D134,Variacion_vs_Libre!D153,Variacion_vs_Libre!D172,Variacion_vs_Libre!D191,Variacion_vs_Libre!D210)</f>
        <v>0</v>
      </c>
      <c r="C19" s="11">
        <f>STDEV(Variacion_vs_Libre!D20,Variacion_vs_Libre!D39,Variacion_vs_Libre!D58,Variacion_vs_Libre!D77,Variacion_vs_Libre!D96,Variacion_vs_Libre!D115,Variacion_vs_Libre!D134,Variacion_vs_Libre!D153,Variacion_vs_Libre!D172,Variacion_vs_Libre!D191,Variacion_vs_Libre!D210)</f>
        <v>0</v>
      </c>
      <c r="D19" s="11">
        <f>MAX(Variacion_vs_Libre!D20,Variacion_vs_Libre!D39,Variacion_vs_Libre!D58,Variacion_vs_Libre!D77,Variacion_vs_Libre!D96,Variacion_vs_Libre!D115,Variacion_vs_Libre!D134,Variacion_vs_Libre!D153,Variacion_vs_Libre!D172,Variacion_vs_Libre!D191,Variacion_vs_Libre!D210)-MIN(Variacion_vs_Libre!D20,Variacion_vs_Libre!D39,Variacion_vs_Libre!D58,Variacion_vs_Libre!D77,Variacion_vs_Libre!D96,Variacion_vs_Libre!D115,Variacion_vs_Libre!D134,Variacion_vs_Libre!D153,Variacion_vs_Libre!D172,Variacion_vs_Libre!D191,Variacion_vs_Libre!D210)</f>
        <v>0</v>
      </c>
      <c r="E19" s="11">
        <f>MAX(MAX(Variacion_vs_Libre!D20,Variacion_vs_Libre!D39,Variacion_vs_Libre!D58,Variacion_vs_Libre!D77,Variacion_vs_Libre!D96,Variacion_vs_Libre!D115,Variacion_vs_Libre!D134,Variacion_vs_Libre!D153,Variacion_vs_Libre!D172,Variacion_vs_Libre!D191,Variacion_vs_Libre!D210),-MIN(Variacion_vs_Libre!D20,Variacion_vs_Libre!D39,Variacion_vs_Libre!D58,Variacion_vs_Libre!D77,Variacion_vs_Libre!D96,Variacion_vs_Libre!D115,Variacion_vs_Libre!D134,Variacion_vs_Libre!D153,Variacion_vs_Libre!D172,Variacion_vs_Libre!D191,Variacion_vs_Libre!D210))</f>
        <v>0</v>
      </c>
      <c r="F19" s="11">
        <f>AVERAGE(Variacion_vs_Libre!F20,Variacion_vs_Libre!F39,Variacion_vs_Libre!F58,Variacion_vs_Libre!F77,Variacion_vs_Libre!F96,Variacion_vs_Libre!F115,Variacion_vs_Libre!F134,Variacion_vs_Libre!F153,Variacion_vs_Libre!F172,Variacion_vs_Libre!F191,Variacion_vs_Libre!F210)</f>
        <v>0</v>
      </c>
      <c r="G19" s="11">
        <f>STDEV(Variacion_vs_Libre!F20,Variacion_vs_Libre!F39,Variacion_vs_Libre!F58,Variacion_vs_Libre!F77,Variacion_vs_Libre!F96,Variacion_vs_Libre!F115,Variacion_vs_Libre!F134,Variacion_vs_Libre!F153,Variacion_vs_Libre!F172,Variacion_vs_Libre!F191,Variacion_vs_Libre!F210)</f>
        <v>0</v>
      </c>
      <c r="H19" s="11">
        <f>MAX(Variacion_vs_Libre!F20,Variacion_vs_Libre!F39,Variacion_vs_Libre!F58,Variacion_vs_Libre!F77,Variacion_vs_Libre!F96,Variacion_vs_Libre!F115,Variacion_vs_Libre!F134,Variacion_vs_Libre!F153,Variacion_vs_Libre!F172,Variacion_vs_Libre!F191,Variacion_vs_Libre!F210)-MIN(Variacion_vs_Libre!F20,Variacion_vs_Libre!F39,Variacion_vs_Libre!F58,Variacion_vs_Libre!F77,Variacion_vs_Libre!F96,Variacion_vs_Libre!F115,Variacion_vs_Libre!F134,Variacion_vs_Libre!F153,Variacion_vs_Libre!F172,Variacion_vs_Libre!F191,Variacion_vs_Libre!F210)</f>
        <v>0</v>
      </c>
      <c r="I19" s="11">
        <f>MAX(MAX(Variacion_vs_Libre!F20,Variacion_vs_Libre!F39,Variacion_vs_Libre!F58,Variacion_vs_Libre!F77,Variacion_vs_Libre!F96,Variacion_vs_Libre!F115,Variacion_vs_Libre!F134,Variacion_vs_Libre!F153,Variacion_vs_Libre!F172,Variacion_vs_Libre!F191,Variacion_vs_Libre!F210),-MIN(Variacion_vs_Libre!F20,Variacion_vs_Libre!F39,Variacion_vs_Libre!F58,Variacion_vs_Libre!F77,Variacion_vs_Libre!F96,Variacion_vs_Libre!F115,Variacion_vs_Libre!F134,Variacion_vs_Libre!F153,Variacion_vs_Libre!F172,Variacion_vs_Libre!F191,Variacion_vs_Libre!F210))</f>
        <v>0</v>
      </c>
      <c r="J19" s="11">
        <f>AVERAGE(Variacion_vs_Libre!H20,Variacion_vs_Libre!H39,Variacion_vs_Libre!H58,Variacion_vs_Libre!H77,Variacion_vs_Libre!H96,Variacion_vs_Libre!H115,Variacion_vs_Libre!H134,Variacion_vs_Libre!H153,Variacion_vs_Libre!H172,Variacion_vs_Libre!H191,Variacion_vs_Libre!H210)</f>
        <v>0</v>
      </c>
      <c r="K19" s="11">
        <f>STDEV(Variacion_vs_Libre!H20,Variacion_vs_Libre!H39,Variacion_vs_Libre!H58,Variacion_vs_Libre!H77,Variacion_vs_Libre!H96,Variacion_vs_Libre!H115,Variacion_vs_Libre!H134,Variacion_vs_Libre!H153,Variacion_vs_Libre!H172,Variacion_vs_Libre!H191,Variacion_vs_Libre!H210)</f>
        <v>0</v>
      </c>
      <c r="L19" s="11">
        <f>MAX(Variacion_vs_Libre!H20,Variacion_vs_Libre!H39,Variacion_vs_Libre!H58,Variacion_vs_Libre!H77,Variacion_vs_Libre!H96,Variacion_vs_Libre!H115,Variacion_vs_Libre!H134,Variacion_vs_Libre!H153,Variacion_vs_Libre!H172,Variacion_vs_Libre!H191,Variacion_vs_Libre!H210)-MIN(Variacion_vs_Libre!H20,Variacion_vs_Libre!H39,Variacion_vs_Libre!H58,Variacion_vs_Libre!H77,Variacion_vs_Libre!H96,Variacion_vs_Libre!H115,Variacion_vs_Libre!H134,Variacion_vs_Libre!H153,Variacion_vs_Libre!H172,Variacion_vs_Libre!H191,Variacion_vs_Libre!H210)</f>
        <v>0</v>
      </c>
      <c r="M19" s="11">
        <f>MAX(MAX(Variacion_vs_Libre!H20,Variacion_vs_Libre!H39,Variacion_vs_Libre!H58,Variacion_vs_Libre!H77,Variacion_vs_Libre!H96,Variacion_vs_Libre!H115,Variacion_vs_Libre!H134,Variacion_vs_Libre!H153,Variacion_vs_Libre!H172,Variacion_vs_Libre!H191,Variacion_vs_Libre!H210),-MIN(Variacion_vs_Libre!H20,Variacion_vs_Libre!H39,Variacion_vs_Libre!H58,Variacion_vs_Libre!H77,Variacion_vs_Libre!H96,Variacion_vs_Libre!H115,Variacion_vs_Libre!H134,Variacion_vs_Libre!H153,Variacion_vs_Libre!H172,Variacion_vs_Libre!H191,Variacion_vs_Libre!H210))</f>
        <v>0</v>
      </c>
      <c r="N19" s="11">
        <f>AVERAGE(Variacion_vs_Libre!L20,Variacion_vs_Libre!L39,Variacion_vs_Libre!L58,Variacion_vs_Libre!L77,Variacion_vs_Libre!L96,Variacion_vs_Libre!L115,Variacion_vs_Libre!L134,Variacion_vs_Libre!L153,Variacion_vs_Libre!L172,Variacion_vs_Libre!L191,Variacion_vs_Libre!L210)</f>
        <v>-0.20397621277135344</v>
      </c>
      <c r="O19" s="11">
        <f>STDEV(Variacion_vs_Libre!L20,Variacion_vs_Libre!L39,Variacion_vs_Libre!L58,Variacion_vs_Libre!L77,Variacion_vs_Libre!L96,Variacion_vs_Libre!L115,Variacion_vs_Libre!L134,Variacion_vs_Libre!L153,Variacion_vs_Libre!L172,Variacion_vs_Libre!L191,Variacion_vs_Libre!L210)</f>
        <v>0.12443087372216743</v>
      </c>
      <c r="P19" s="11">
        <f>MAX(Variacion_vs_Libre!L20,Variacion_vs_Libre!L39,Variacion_vs_Libre!L58,Variacion_vs_Libre!L77,Variacion_vs_Libre!L96,Variacion_vs_Libre!L115,Variacion_vs_Libre!L134,Variacion_vs_Libre!L153,Variacion_vs_Libre!L172,Variacion_vs_Libre!L191,Variacion_vs_Libre!L210)-MIN(Variacion_vs_Libre!L20,Variacion_vs_Libre!L39,Variacion_vs_Libre!L58,Variacion_vs_Libre!L77,Variacion_vs_Libre!L96,Variacion_vs_Libre!L115,Variacion_vs_Libre!L134,Variacion_vs_Libre!L153,Variacion_vs_Libre!L172,Variacion_vs_Libre!L191,Variacion_vs_Libre!L210)</f>
        <v>0.35645298749627158</v>
      </c>
      <c r="Q19" s="11">
        <f>MAX(MAX(Variacion_vs_Libre!L20,Variacion_vs_Libre!L39,Variacion_vs_Libre!L58,Variacion_vs_Libre!L77,Variacion_vs_Libre!L96,Variacion_vs_Libre!L115,Variacion_vs_Libre!L134,Variacion_vs_Libre!L153,Variacion_vs_Libre!L172,Variacion_vs_Libre!L191,Variacion_vs_Libre!L210),-MIN(Variacion_vs_Libre!L20,Variacion_vs_Libre!L39,Variacion_vs_Libre!L58,Variacion_vs_Libre!L77,Variacion_vs_Libre!L96,Variacion_vs_Libre!L115,Variacion_vs_Libre!L134,Variacion_vs_Libre!L153,Variacion_vs_Libre!L172,Variacion_vs_Libre!L191,Variacion_vs_Libre!L210))</f>
        <v>0.38247531624440251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Notas</vt:lpstr>
      <vt:lpstr>Resultados_Simulacion</vt:lpstr>
      <vt:lpstr>Variación Porcentual frente a L</vt:lpstr>
      <vt:lpstr>Variacion_vs_Libre</vt:lpstr>
      <vt:lpstr>Estadistica_por_Re</vt:lpstr>
      <vt:lpstr>Estadistica_por_Posicion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Nuñez</cp:lastModifiedBy>
  <dcterms:created xsi:type="dcterms:W3CDTF">2026-09-17T02:17:22Z</dcterms:created>
  <dcterms:modified xsi:type="dcterms:W3CDTF">2026-09-30T14:14:59Z</dcterms:modified>
</cp:coreProperties>
</file>